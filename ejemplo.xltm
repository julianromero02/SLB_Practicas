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an\OneDrive\Documentos\Plantillas personalizadas de Office\"/>
    </mc:Choice>
  </mc:AlternateContent>
  <xr:revisionPtr revIDLastSave="0" documentId="13_ncr:1_{6D36CEBA-2941-4F95-A956-ED24D53A7027}" xr6:coauthVersionLast="47" xr6:coauthVersionMax="47" xr10:uidLastSave="{00000000-0000-0000-0000-000000000000}"/>
  <bookViews>
    <workbookView xWindow="28680" yWindow="-120" windowWidth="20730" windowHeight="11040" xr2:uid="{00000000-000D-0000-FFFF-FFFF00000000}"/>
  </bookViews>
  <sheets>
    <sheet name="INFORM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52" i="1" l="1"/>
  <c r="AU52" i="1"/>
  <c r="AY52" i="1" s="1"/>
  <c r="AV51" i="1"/>
  <c r="AU51" i="1"/>
  <c r="AY51" i="1" s="1"/>
  <c r="AV50" i="1"/>
  <c r="AU50" i="1"/>
  <c r="AY50" i="1" s="1"/>
  <c r="AV49" i="1"/>
  <c r="AU49" i="1"/>
  <c r="AY49" i="1" s="1"/>
  <c r="AV48" i="1"/>
  <c r="AU48" i="1"/>
  <c r="AY48" i="1" s="1"/>
  <c r="AV47" i="1"/>
  <c r="AU47" i="1"/>
  <c r="AY47" i="1" s="1"/>
  <c r="AV46" i="1"/>
  <c r="AU46" i="1"/>
  <c r="AY46" i="1" s="1"/>
  <c r="AV45" i="1"/>
  <c r="AU45" i="1"/>
  <c r="AY45" i="1" s="1"/>
  <c r="AV44" i="1"/>
  <c r="AU44" i="1"/>
  <c r="AY44" i="1" s="1"/>
  <c r="AV43" i="1"/>
  <c r="AU43" i="1"/>
  <c r="AY43" i="1" s="1"/>
  <c r="AV42" i="1"/>
  <c r="AU42" i="1"/>
  <c r="AY42" i="1" s="1"/>
  <c r="AV41" i="1"/>
  <c r="AU41" i="1"/>
  <c r="AY41" i="1" s="1"/>
  <c r="AV40" i="1"/>
  <c r="AU40" i="1"/>
  <c r="AY40" i="1" s="1"/>
  <c r="AV39" i="1"/>
  <c r="AU39" i="1"/>
  <c r="AY39" i="1" s="1"/>
  <c r="AV38" i="1"/>
  <c r="AU38" i="1"/>
  <c r="AY38" i="1" s="1"/>
  <c r="AV37" i="1"/>
  <c r="AU37" i="1"/>
  <c r="AY37" i="1" s="1"/>
  <c r="AV36" i="1"/>
  <c r="AU36" i="1"/>
  <c r="AY36" i="1" s="1"/>
  <c r="AV35" i="1"/>
  <c r="AU35" i="1"/>
  <c r="AY35" i="1" s="1"/>
  <c r="AV34" i="1"/>
  <c r="AU34" i="1"/>
  <c r="AY34" i="1" s="1"/>
  <c r="AV33" i="1"/>
  <c r="AU33" i="1"/>
  <c r="AY33" i="1" s="1"/>
  <c r="AV32" i="1"/>
  <c r="AU32" i="1"/>
  <c r="AY32" i="1" s="1"/>
  <c r="AV31" i="1"/>
  <c r="AU31" i="1"/>
  <c r="AY31" i="1" s="1"/>
  <c r="AV30" i="1"/>
  <c r="AU30" i="1"/>
  <c r="AY30" i="1" s="1"/>
  <c r="AV29" i="1"/>
  <c r="AU29" i="1"/>
  <c r="AY29" i="1" s="1"/>
  <c r="AV28" i="1"/>
  <c r="AU28" i="1"/>
  <c r="AY28" i="1" s="1"/>
  <c r="AV27" i="1"/>
  <c r="AU27" i="1"/>
  <c r="AY27" i="1" s="1"/>
  <c r="AV26" i="1"/>
  <c r="AU26" i="1"/>
  <c r="AY26" i="1" s="1"/>
  <c r="AV25" i="1"/>
  <c r="AU25" i="1"/>
  <c r="AY25" i="1" s="1"/>
  <c r="AV24" i="1"/>
  <c r="AU24" i="1"/>
  <c r="AY24" i="1" s="1"/>
  <c r="AV23" i="1"/>
  <c r="AU23" i="1"/>
  <c r="AY23" i="1" s="1"/>
  <c r="AV22" i="1"/>
  <c r="AU22" i="1"/>
  <c r="AY22" i="1" s="1"/>
  <c r="AV21" i="1"/>
  <c r="AU21" i="1"/>
  <c r="AY21" i="1" s="1"/>
  <c r="AV20" i="1"/>
  <c r="AU20" i="1"/>
  <c r="AY20" i="1" s="1"/>
  <c r="AV19" i="1"/>
  <c r="AU19" i="1"/>
  <c r="AY19" i="1" s="1"/>
  <c r="AV18" i="1"/>
  <c r="AU18" i="1"/>
  <c r="AY18" i="1" s="1"/>
  <c r="AV17" i="1"/>
  <c r="AU17" i="1"/>
  <c r="AY17" i="1" s="1"/>
  <c r="AV16" i="1"/>
  <c r="AU16" i="1"/>
  <c r="AY16" i="1" s="1"/>
  <c r="AV15" i="1"/>
  <c r="AU15" i="1"/>
  <c r="AY15" i="1" s="1"/>
  <c r="AV14" i="1"/>
  <c r="AU14" i="1"/>
  <c r="AY14" i="1" s="1"/>
  <c r="AV13" i="1"/>
  <c r="AU13" i="1"/>
  <c r="AY13" i="1" s="1"/>
  <c r="AV12" i="1"/>
  <c r="AU12" i="1" s="1"/>
  <c r="AY12" i="1" s="1"/>
  <c r="AV11" i="1"/>
  <c r="AU11" i="1"/>
  <c r="AY11" i="1" s="1"/>
  <c r="AV10" i="1"/>
  <c r="AU10" i="1"/>
  <c r="AY10" i="1" s="1"/>
  <c r="AV9" i="1"/>
  <c r="AU9" i="1"/>
  <c r="AY9" i="1" s="1"/>
  <c r="AV8" i="1"/>
  <c r="AU8" i="1"/>
  <c r="AY8" i="1" s="1"/>
  <c r="AV7" i="1"/>
  <c r="AU7" i="1"/>
  <c r="AY7" i="1" s="1"/>
  <c r="AV6" i="1"/>
  <c r="AU6" i="1"/>
  <c r="AY6" i="1" s="1"/>
  <c r="AV5" i="1"/>
  <c r="AU5" i="1"/>
  <c r="AY5" i="1" s="1"/>
  <c r="AV4" i="1"/>
  <c r="AU4" i="1"/>
  <c r="AY4" i="1" s="1"/>
  <c r="AV3" i="1"/>
  <c r="AU3" i="1"/>
  <c r="AY3" i="1" s="1"/>
  <c r="AV2" i="1"/>
  <c r="AU2" i="1"/>
  <c r="AY2" i="1" s="1"/>
</calcChain>
</file>

<file path=xl/sharedStrings.xml><?xml version="1.0" encoding="utf-8"?>
<sst xmlns="http://schemas.openxmlformats.org/spreadsheetml/2006/main" count="1606" uniqueCount="466">
  <si>
    <t>NN-Copia</t>
  </si>
  <si>
    <t>GS</t>
  </si>
  <si>
    <t>ESTADO</t>
  </si>
  <si>
    <t>HORAS</t>
  </si>
  <si>
    <t>TRASBORDO</t>
  </si>
  <si>
    <t>TIPO DE VIAJE</t>
  </si>
  <si>
    <t>Created</t>
  </si>
  <si>
    <t>Order Base</t>
  </si>
  <si>
    <t>Shipment</t>
  </si>
  <si>
    <t>Period</t>
  </si>
  <si>
    <t>Vehicle plate</t>
  </si>
  <si>
    <t>Real Plate services</t>
  </si>
  <si>
    <t>Rechargable Cost To Client</t>
  </si>
  <si>
    <t>BL:DV Seg Level 1</t>
  </si>
  <si>
    <t>BL:DV Seg Level 2</t>
  </si>
  <si>
    <t>Suppliers</t>
  </si>
  <si>
    <t>Vehicle Type</t>
  </si>
  <si>
    <t>Vehicle Type_Categoria</t>
  </si>
  <si>
    <t>Driver</t>
  </si>
  <si>
    <t>Driver GIN</t>
  </si>
  <si>
    <t>Requester</t>
  </si>
  <si>
    <t>Origin</t>
  </si>
  <si>
    <t>Destination</t>
  </si>
  <si>
    <t>Distance KM</t>
  </si>
  <si>
    <t>Fecha y hora de creacion de OB</t>
  </si>
  <si>
    <t>Fecha y hora de cargue</t>
  </si>
  <si>
    <t>Fecha Finalizacion</t>
  </si>
  <si>
    <t>Freight</t>
  </si>
  <si>
    <t>ReturnCost</t>
  </si>
  <si>
    <t>StandByDays</t>
  </si>
  <si>
    <t>CostStandby</t>
  </si>
  <si>
    <t>AditionalDriver</t>
  </si>
  <si>
    <t>EquimentRentalForkliftCranes</t>
  </si>
  <si>
    <t>AdditionalCostKM</t>
  </si>
  <si>
    <t>Escorts</t>
  </si>
  <si>
    <t>Other cost</t>
  </si>
  <si>
    <t>Cost for Canceled</t>
  </si>
  <si>
    <t>Cost for Emergencies</t>
  </si>
  <si>
    <t>Emergency</t>
  </si>
  <si>
    <t>Discount</t>
  </si>
  <si>
    <t>Total Cost COP</t>
  </si>
  <si>
    <t>COMPARATIVO</t>
  </si>
  <si>
    <t>VALOR RENTA</t>
  </si>
  <si>
    <t>USD exchange rate</t>
  </si>
  <si>
    <t>Total Cost USD</t>
  </si>
  <si>
    <t>OrderBase</t>
  </si>
  <si>
    <t>Freight Form</t>
  </si>
  <si>
    <t>PONumber</t>
  </si>
  <si>
    <t>PO_GR</t>
  </si>
  <si>
    <t>NOInvoice</t>
  </si>
  <si>
    <t>InvoiceStatus</t>
  </si>
  <si>
    <t>LogisticsCordinator</t>
  </si>
  <si>
    <t>GLAccountType</t>
  </si>
  <si>
    <t>WSB</t>
  </si>
  <si>
    <t>Accrual</t>
  </si>
  <si>
    <t>PO SAP Material</t>
  </si>
  <si>
    <t>ImportInvoice</t>
  </si>
  <si>
    <t>DO</t>
  </si>
  <si>
    <t>GuiaProveedor</t>
  </si>
  <si>
    <t>Comments Final</t>
  </si>
  <si>
    <t>Created By</t>
  </si>
  <si>
    <t>GL Account</t>
  </si>
  <si>
    <t>MATERIAL TYPE</t>
  </si>
  <si>
    <t>Item Type</t>
  </si>
  <si>
    <t>Path</t>
  </si>
  <si>
    <t>Conductor</t>
  </si>
  <si>
    <t>Fecha Partida</t>
  </si>
  <si>
    <t>Fecha Llegada</t>
  </si>
  <si>
    <t>RequirementQuality -R-</t>
  </si>
  <si>
    <t>TripStatus -R-</t>
  </si>
  <si>
    <t>Vehicle Type ECU:Category -R-</t>
  </si>
  <si>
    <t>Comments -R-</t>
  </si>
  <si>
    <t>EJourneyNumber -R-</t>
  </si>
  <si>
    <t>Origin -R-</t>
  </si>
  <si>
    <t>Destination -R-</t>
  </si>
  <si>
    <t>DistanceKMS -R-</t>
  </si>
  <si>
    <t>Shipment -R-</t>
  </si>
  <si>
    <t>LogisticsCordinator -R-</t>
  </si>
  <si>
    <t>Departur Date -R-</t>
  </si>
  <si>
    <t>Return Date -R-</t>
  </si>
  <si>
    <t>Freight -R-</t>
  </si>
  <si>
    <t>ReturnCost -R-</t>
  </si>
  <si>
    <t>StandByDays -R-</t>
  </si>
  <si>
    <t>CostStandby -R-</t>
  </si>
  <si>
    <t>AditionalDriver -R-</t>
  </si>
  <si>
    <t>EquimentRentalForkliftCranes -R-</t>
  </si>
  <si>
    <t>AdditionalCostKM -R-</t>
  </si>
  <si>
    <t>CostoDiaDeTrabajo -R-</t>
  </si>
  <si>
    <t>Escoltas -R-</t>
  </si>
  <si>
    <t>Otros -R-</t>
  </si>
  <si>
    <t>Discount -R-</t>
  </si>
  <si>
    <t>TotalCostLocalCurrency -R-</t>
  </si>
  <si>
    <t>Cost Callout Rent OFS -R-</t>
  </si>
  <si>
    <t>RequirementQuality -MI1-</t>
  </si>
  <si>
    <t>TripStatus -MI1-</t>
  </si>
  <si>
    <t>Vehicle Type ECU:Category -MI1-</t>
  </si>
  <si>
    <t>Comments -MI1-</t>
  </si>
  <si>
    <t>EJourneyNumber -MI1-</t>
  </si>
  <si>
    <t>Origin -MI1-</t>
  </si>
  <si>
    <t>Destination -MI1-</t>
  </si>
  <si>
    <t>DistanceKMS -MI1-</t>
  </si>
  <si>
    <t>Shipment -MI1-</t>
  </si>
  <si>
    <t>LogisticsCordinator -MI1-</t>
  </si>
  <si>
    <t>Departur Date -MI1-</t>
  </si>
  <si>
    <t>Return Date -MI1-</t>
  </si>
  <si>
    <t>Freight -MI1-</t>
  </si>
  <si>
    <t>ReturnCost -MI1-</t>
  </si>
  <si>
    <t>StandByDays -MI1-</t>
  </si>
  <si>
    <t>CostStandby -MI1-</t>
  </si>
  <si>
    <t>AditionalDriver -MI1-</t>
  </si>
  <si>
    <t>EquimentRentalForkliftCranes -MI1-</t>
  </si>
  <si>
    <t>AdditionalCostKM -MI1-</t>
  </si>
  <si>
    <t>CostoDiaDeTrabajo -MI1-</t>
  </si>
  <si>
    <t>Escoltas -MI1-</t>
  </si>
  <si>
    <t>Otros -MI1-</t>
  </si>
  <si>
    <t>Discount -MI1-</t>
  </si>
  <si>
    <t>TotalCostLocalCurrency -MI1-</t>
  </si>
  <si>
    <t>Cost Callout Rent OFS -MI1-</t>
  </si>
  <si>
    <t>RequirementQuality -MI2-</t>
  </si>
  <si>
    <t>TripStatus -MI2-</t>
  </si>
  <si>
    <t>Vehicle Type ECU:Category -MI2-</t>
  </si>
  <si>
    <t>Comments -MI2-</t>
  </si>
  <si>
    <t>EJourneyNumber -MI2-</t>
  </si>
  <si>
    <t>Origin -MI2-</t>
  </si>
  <si>
    <t>Destination -MI2-</t>
  </si>
  <si>
    <t>DistanceKMS -MI2-</t>
  </si>
  <si>
    <t>Shipment -MI2-</t>
  </si>
  <si>
    <t>LogisticsCordinator -MI2-</t>
  </si>
  <si>
    <t>Departur Date -MI2-</t>
  </si>
  <si>
    <t>Return Date -MI2-</t>
  </si>
  <si>
    <t>Freight -MI2-</t>
  </si>
  <si>
    <t>ReturnCost -MI2-</t>
  </si>
  <si>
    <t>StandByDays -MI2-</t>
  </si>
  <si>
    <t>CostStandby -MI2-</t>
  </si>
  <si>
    <t>AditionalDriver -MI2-</t>
  </si>
  <si>
    <t>EquimentRentalForkliftCranes -MI2-</t>
  </si>
  <si>
    <t>AdditionalCostKM -MI2-</t>
  </si>
  <si>
    <t>CostoDiaDeTrabajo -MI2-</t>
  </si>
  <si>
    <t>Escoltas -MI2-</t>
  </si>
  <si>
    <t>Otros -MI2-</t>
  </si>
  <si>
    <t>Discount -MI2-</t>
  </si>
  <si>
    <t>TotalCostLocalCurrency -MI2-</t>
  </si>
  <si>
    <t>Cost Callout Rent OFS -MI2-</t>
  </si>
  <si>
    <t>NOInvoice -R-</t>
  </si>
  <si>
    <t>InvoiceStatus -R-</t>
  </si>
  <si>
    <t>GLAccountType -R-</t>
  </si>
  <si>
    <t>Accrual -R-</t>
  </si>
  <si>
    <t>GuiaProveedor -R-</t>
  </si>
  <si>
    <t>Comments Final -R-</t>
  </si>
  <si>
    <t>Created -R-</t>
  </si>
  <si>
    <t>MATERIAL TYPE -R-</t>
  </si>
  <si>
    <t>Item type -R-</t>
  </si>
  <si>
    <t>NOInvoice -MI1-</t>
  </si>
  <si>
    <t>InvoiceStatus -MI1-</t>
  </si>
  <si>
    <t>GLAccountType -MI1-</t>
  </si>
  <si>
    <t>Accrual -MI1-</t>
  </si>
  <si>
    <t>GuiaProveedor -MI1-</t>
  </si>
  <si>
    <t>Comments Final -MI1-</t>
  </si>
  <si>
    <t>Created -MI1-</t>
  </si>
  <si>
    <t>MATERIAL TYPE -MI1-</t>
  </si>
  <si>
    <t>Item type -MI1-</t>
  </si>
  <si>
    <t>NOInvoice -MI2-</t>
  </si>
  <si>
    <t>InvoiceStatus -MI2-</t>
  </si>
  <si>
    <t>GLAccountType -MI2-</t>
  </si>
  <si>
    <t>Accrual -MI2-</t>
  </si>
  <si>
    <t>GuiaProveedor -MI2-</t>
  </si>
  <si>
    <t>Comments Final -MI2-</t>
  </si>
  <si>
    <t>Created -MI2-</t>
  </si>
  <si>
    <t>MATERIAL TYPE -MI2-</t>
  </si>
  <si>
    <t>Item type -MI2-</t>
  </si>
  <si>
    <t>GS9296</t>
  </si>
  <si>
    <t>Livianos</t>
  </si>
  <si>
    <t>24h</t>
  </si>
  <si>
    <t>Viaje normal.</t>
  </si>
  <si>
    <t>07/18/2023 19:40:00</t>
  </si>
  <si>
    <t>Carol Zipa</t>
  </si>
  <si>
    <t>NO</t>
  </si>
  <si>
    <t>MSPO</t>
  </si>
  <si>
    <t>MSP</t>
  </si>
  <si>
    <t>VIP</t>
  </si>
  <si>
    <t>Bogotá</t>
  </si>
  <si>
    <t>07/20/2023 04:00:00</t>
  </si>
  <si>
    <t>CO100131</t>
  </si>
  <si>
    <t>GS9295</t>
  </si>
  <si>
    <t>Viaje por emergencia</t>
  </si>
  <si>
    <t>Viaje por emergencia liviano.</t>
  </si>
  <si>
    <t>07/17/2023 18:00:00</t>
  </si>
  <si>
    <t>KAREN GOMEZ</t>
  </si>
  <si>
    <t>WCM</t>
  </si>
  <si>
    <t>WEC</t>
  </si>
  <si>
    <t>PICKUP</t>
  </si>
  <si>
    <t>Acacias (Nabors PX45)</t>
  </si>
  <si>
    <t>07/31/2023 00:00:00</t>
  </si>
  <si>
    <t>CO100000</t>
  </si>
  <si>
    <t>GS9294</t>
  </si>
  <si>
    <t>12h</t>
  </si>
  <si>
    <t>07/18/2023 06:00:00</t>
  </si>
  <si>
    <t>Yopal Hotel</t>
  </si>
  <si>
    <t>Pozo Cucarachero - Aerop Yopal</t>
  </si>
  <si>
    <t>07/18/2023 14:00:00</t>
  </si>
  <si>
    <t>CO100062</t>
  </si>
  <si>
    <t>GS9293</t>
  </si>
  <si>
    <t>07/18/2023 06:30:00</t>
  </si>
  <si>
    <t>Pozo Buho</t>
  </si>
  <si>
    <t>Aeropuerto Monteria</t>
  </si>
  <si>
    <t>07/18/2023 17:00:00</t>
  </si>
  <si>
    <t>GS9292</t>
  </si>
  <si>
    <t>Tarifa</t>
  </si>
  <si>
    <t>07/17/2023 10:00:00</t>
  </si>
  <si>
    <t>CALL OUT</t>
  </si>
  <si>
    <t>DOMESTIC</t>
  </si>
  <si>
    <t>TRANSBETWIL</t>
  </si>
  <si>
    <t>NELSON BENAVIDEZ</t>
  </si>
  <si>
    <t>Puerto Wlches</t>
  </si>
  <si>
    <t>Bucaramanga</t>
  </si>
  <si>
    <t>07/17/2023 15:00:00</t>
  </si>
  <si>
    <t>CO100129</t>
  </si>
  <si>
    <t>GS9291</t>
  </si>
  <si>
    <t>Renta Solicitada</t>
  </si>
  <si>
    <t>07/18/2023 11:00:00</t>
  </si>
  <si>
    <t>Cosmotrans</t>
  </si>
  <si>
    <t>Sebastian Platin</t>
  </si>
  <si>
    <t>Villavicencio</t>
  </si>
  <si>
    <t>Acacias</t>
  </si>
  <si>
    <t>07/18/2023 17:03:00</t>
  </si>
  <si>
    <t>GS9290</t>
  </si>
  <si>
    <t>Call Out Solicitado</t>
  </si>
  <si>
    <t>WCF</t>
  </si>
  <si>
    <t>COL_BARUC SAS</t>
  </si>
  <si>
    <t>SEBASTIAN SERRANO</t>
  </si>
  <si>
    <t>SAHAGUN</t>
  </si>
  <si>
    <t>09/08/2023 08:01:00</t>
  </si>
  <si>
    <t>CO100011</t>
  </si>
  <si>
    <t>GS9289</t>
  </si>
  <si>
    <t>WCE</t>
  </si>
  <si>
    <t>MONTERIA</t>
  </si>
  <si>
    <t>09/04/2023 04:58:00</t>
  </si>
  <si>
    <t>CO100015</t>
  </si>
  <si>
    <t>GS9288</t>
  </si>
  <si>
    <t>CARTAGENA</t>
  </si>
  <si>
    <t>BARRANQUILLA - SANTA MARTA</t>
  </si>
  <si>
    <t>CO100013</t>
  </si>
  <si>
    <t>GS9287</t>
  </si>
  <si>
    <t>GEINTEPROL</t>
  </si>
  <si>
    <t>CASTILLA</t>
  </si>
  <si>
    <t>09/04/2023 04:52:00</t>
  </si>
  <si>
    <t>GS9286</t>
  </si>
  <si>
    <t>Transportes Masa</t>
  </si>
  <si>
    <t>PUERTO GAITAN</t>
  </si>
  <si>
    <t>09/04/2023 04:48:00</t>
  </si>
  <si>
    <t>GS9285</t>
  </si>
  <si>
    <t>Inicio de ruta por conductor DIURNO</t>
  </si>
  <si>
    <t>TAR543</t>
  </si>
  <si>
    <t>09/04/2023 04:43:00</t>
  </si>
  <si>
    <t>GS9284</t>
  </si>
  <si>
    <t>COL_TIERRADENTRO</t>
  </si>
  <si>
    <t>Puerto Gaitan</t>
  </si>
  <si>
    <t>07/24/2023 18:39:00</t>
  </si>
  <si>
    <t>GS9283</t>
  </si>
  <si>
    <t>07/18/2023 07:11:00</t>
  </si>
  <si>
    <t>Adriana Peñaloza</t>
  </si>
  <si>
    <t>RPE</t>
  </si>
  <si>
    <t>RPF</t>
  </si>
  <si>
    <t>Pozos Castilla – Pozos Castilla Norte</t>
  </si>
  <si>
    <t>07/31/2023 19:11:00</t>
  </si>
  <si>
    <t>j.23.093614</t>
  </si>
  <si>
    <t>GS9282</t>
  </si>
  <si>
    <t>07/17/2023 14:15:00</t>
  </si>
  <si>
    <t>FVQ481</t>
  </si>
  <si>
    <t>CAMERON</t>
  </si>
  <si>
    <t>Entrapetrol</t>
  </si>
  <si>
    <t>IVAN MORENO</t>
  </si>
  <si>
    <t>yopal</t>
  </si>
  <si>
    <t>paz de ariporo</t>
  </si>
  <si>
    <t>07/18/2023 20:25:00</t>
  </si>
  <si>
    <t>co 100256</t>
  </si>
  <si>
    <t>GS9281</t>
  </si>
  <si>
    <t>Asignación condutor Call Out</t>
  </si>
  <si>
    <t>07/17/2023 06:00:00</t>
  </si>
  <si>
    <t>Fpm501</t>
  </si>
  <si>
    <t>WCD</t>
  </si>
  <si>
    <t>LAM_SERVICIOS_TRANSANDINOS_EU_COL_CPG</t>
  </si>
  <si>
    <t>Hotel Arauca</t>
  </si>
  <si>
    <t>CariCare 028</t>
  </si>
  <si>
    <t>CO100020</t>
  </si>
  <si>
    <t>GS9280</t>
  </si>
  <si>
    <t>07/17/2023 16:00:00</t>
  </si>
  <si>
    <t>FVS297</t>
  </si>
  <si>
    <t>WPRS</t>
  </si>
  <si>
    <t>PRS</t>
  </si>
  <si>
    <t>Nancy Bermudez</t>
  </si>
  <si>
    <t>Bogota</t>
  </si>
  <si>
    <t>villavicencio</t>
  </si>
  <si>
    <t>07/19/2023 20:00:00</t>
  </si>
  <si>
    <t>CO100053</t>
  </si>
  <si>
    <t>GS9279</t>
  </si>
  <si>
    <t>LQT416</t>
  </si>
  <si>
    <t>RPI</t>
  </si>
  <si>
    <t>Wilson Mora</t>
  </si>
  <si>
    <t>bogota</t>
  </si>
  <si>
    <t>07/17/2023 19:10:00</t>
  </si>
  <si>
    <t>CO100041</t>
  </si>
  <si>
    <t>GS9277</t>
  </si>
  <si>
    <t>FVN737</t>
  </si>
  <si>
    <t>Said Molina Sanguino</t>
  </si>
  <si>
    <t>CHIA</t>
  </si>
  <si>
    <t>BUCARAMANGA</t>
  </si>
  <si>
    <t>J.23.107251</t>
  </si>
  <si>
    <t>GS9276</t>
  </si>
  <si>
    <t>Jow213</t>
  </si>
  <si>
    <t>COL_CASANAREXPRESS</t>
  </si>
  <si>
    <t xml:space="preserve">Villanueva </t>
  </si>
  <si>
    <t xml:space="preserve">Tigana </t>
  </si>
  <si>
    <t>07/23/2023 18:00:00</t>
  </si>
  <si>
    <t>GS9275</t>
  </si>
  <si>
    <t xml:space="preserve">Chichimene </t>
  </si>
  <si>
    <t>GS9274</t>
  </si>
  <si>
    <t xml:space="preserve">acacias </t>
  </si>
  <si>
    <t xml:space="preserve">Castilla </t>
  </si>
  <si>
    <t>GS9273</t>
  </si>
  <si>
    <t>acacias</t>
  </si>
  <si>
    <t>GS9272</t>
  </si>
  <si>
    <t>07/17/2023 00:00:00</t>
  </si>
  <si>
    <t>EXX124</t>
  </si>
  <si>
    <t>COL_TRANSPOMARYED</t>
  </si>
  <si>
    <t>Barrancabermeja</t>
  </si>
  <si>
    <t>J.23.018534</t>
  </si>
  <si>
    <t>GS9271</t>
  </si>
  <si>
    <t>07/18/2023 08:00:00</t>
  </si>
  <si>
    <t>LHT237</t>
  </si>
  <si>
    <t>07/19/2023 18:00:00</t>
  </si>
  <si>
    <t>CO100061</t>
  </si>
  <si>
    <t>GS9270</t>
  </si>
  <si>
    <t>En ruta</t>
  </si>
  <si>
    <t>07/17/2023 07:00:00</t>
  </si>
  <si>
    <t>FVQ494</t>
  </si>
  <si>
    <t>07/18/2023 12:00:00</t>
  </si>
  <si>
    <t>GS9269</t>
  </si>
  <si>
    <t>07/17/2023 12:00:00</t>
  </si>
  <si>
    <t>FVQ486</t>
  </si>
  <si>
    <t>Alirio Minorta</t>
  </si>
  <si>
    <t>Neiva</t>
  </si>
  <si>
    <t>07/19/2023 23:31:00</t>
  </si>
  <si>
    <t>SAP Number Project : J.23.037136</t>
  </si>
  <si>
    <t>GS9265</t>
  </si>
  <si>
    <t>EYX291</t>
  </si>
  <si>
    <t>COL_AVANTCOL</t>
  </si>
  <si>
    <t xml:space="preserve">APIAY </t>
  </si>
  <si>
    <t xml:space="preserve">Monitoreo Campo APIAY, Suria, libertad, Guatiquia </t>
  </si>
  <si>
    <t>07/23/2023 18:01:00</t>
  </si>
  <si>
    <t>GS9264</t>
  </si>
  <si>
    <t>Viaje cancelado</t>
  </si>
  <si>
    <t>COL_RIVERESPE</t>
  </si>
  <si>
    <t xml:space="preserve">Barrancabermeja </t>
  </si>
  <si>
    <t>Casabe</t>
  </si>
  <si>
    <t>GS9263</t>
  </si>
  <si>
    <t>ASTRAWILL AST18</t>
  </si>
  <si>
    <t>CHALUPA</t>
  </si>
  <si>
    <t xml:space="preserve">Puerto Wilches </t>
  </si>
  <si>
    <t xml:space="preserve">Cantagallo </t>
  </si>
  <si>
    <t>GS9261</t>
  </si>
  <si>
    <t>LLP995</t>
  </si>
  <si>
    <t xml:space="preserve">Rubiales </t>
  </si>
  <si>
    <t>GS9260</t>
  </si>
  <si>
    <t>LLP191</t>
  </si>
  <si>
    <t>Rubiales</t>
  </si>
  <si>
    <t>GS9257</t>
  </si>
  <si>
    <t>FVR343</t>
  </si>
  <si>
    <t>Carlos Andres Rivera Bedoya</t>
  </si>
  <si>
    <t>Mosquera</t>
  </si>
  <si>
    <t>100-129</t>
  </si>
  <si>
    <t>GS9255</t>
  </si>
  <si>
    <t>07/17/2023 06:11:00</t>
  </si>
  <si>
    <t>FVR349</t>
  </si>
  <si>
    <t>Laura Benitez</t>
  </si>
  <si>
    <t>VILLAVICENCIO</t>
  </si>
  <si>
    <t>07/18/2023 08:11:00</t>
  </si>
  <si>
    <t>Co100040</t>
  </si>
  <si>
    <t>GS9254</t>
  </si>
  <si>
    <t>07/18/2023 09:00:00</t>
  </si>
  <si>
    <t>TAR554</t>
  </si>
  <si>
    <t>Jaime Marino</t>
  </si>
  <si>
    <t xml:space="preserve">Villavicencio </t>
  </si>
  <si>
    <t>07/19/2023 15:00:00</t>
  </si>
  <si>
    <t>co100011</t>
  </si>
  <si>
    <t>GS9252</t>
  </si>
  <si>
    <t>Cambio de conductor o placa DIURNO</t>
  </si>
  <si>
    <t>FVR346</t>
  </si>
  <si>
    <t>La Cristalina</t>
  </si>
  <si>
    <t>GS9251</t>
  </si>
  <si>
    <t>GS9241-1</t>
  </si>
  <si>
    <t>07/17/2023 10:17:00</t>
  </si>
  <si>
    <t>TST049</t>
  </si>
  <si>
    <t>COL_PORTRANS</t>
  </si>
  <si>
    <t>Manuel Ruiz Vargas</t>
  </si>
  <si>
    <t>TAURAMENA</t>
  </si>
  <si>
    <t>07/18/2023 01:17:00</t>
  </si>
  <si>
    <t>J.23.109395</t>
  </si>
  <si>
    <t>GS9249</t>
  </si>
  <si>
    <t>TFX160</t>
  </si>
  <si>
    <t>Cogua</t>
  </si>
  <si>
    <t>07/17/2023 17:00:00</t>
  </si>
  <si>
    <t>GS9248</t>
  </si>
  <si>
    <t>07/17/2023 05:30:00</t>
  </si>
  <si>
    <t>FVN739</t>
  </si>
  <si>
    <t>Cota</t>
  </si>
  <si>
    <t>07/17/2023 12:38:00</t>
  </si>
  <si>
    <t>GS9247</t>
  </si>
  <si>
    <t>Conductor en camino (tracking)</t>
  </si>
  <si>
    <t>FVS299</t>
  </si>
  <si>
    <t>Puerto Boyacá</t>
  </si>
  <si>
    <t>07/17/2023 21:30:00</t>
  </si>
  <si>
    <t>GS9246</t>
  </si>
  <si>
    <t>FVN341</t>
  </si>
  <si>
    <t>GS9245</t>
  </si>
  <si>
    <t>Suspension por cargue o descarga</t>
  </si>
  <si>
    <t>07/17/2023 04:00:00</t>
  </si>
  <si>
    <t>LHV855</t>
  </si>
  <si>
    <t>Zipaquira</t>
  </si>
  <si>
    <t>07/17/2023 10:30:00</t>
  </si>
  <si>
    <t>GS9241</t>
  </si>
  <si>
    <t>Viaje Cancelado</t>
  </si>
  <si>
    <t>GS9240</t>
  </si>
  <si>
    <t>07/17/2023 09:31:00</t>
  </si>
  <si>
    <t>DIEGO GARCIA</t>
  </si>
  <si>
    <t>Por Definir entre Bogotá Calle 100/ Hoteles Zona Siberia-Cota/Base Cota Schlumberger</t>
  </si>
  <si>
    <t>07/17/2023 12:11:00</t>
  </si>
  <si>
    <t>A.1010666.101.30</t>
  </si>
  <si>
    <t>GS9238</t>
  </si>
  <si>
    <t>LHR715</t>
  </si>
  <si>
    <t>Shirley Andrea Rangel Zambrano</t>
  </si>
  <si>
    <t>barrancabermeja</t>
  </si>
  <si>
    <t>GS9236</t>
  </si>
  <si>
    <t>Puerto Gaitan - Bogotá</t>
  </si>
  <si>
    <t>07/20/2023 17:00:00</t>
  </si>
  <si>
    <t>GS9235</t>
  </si>
  <si>
    <t>07/17/2023 06:30:00</t>
  </si>
  <si>
    <t>TAR649</t>
  </si>
  <si>
    <t>Mario Moreno</t>
  </si>
  <si>
    <t xml:space="preserve">Villavicencio/Acacias/Guamal </t>
  </si>
  <si>
    <t>GS9233</t>
  </si>
  <si>
    <t>LHT624</t>
  </si>
  <si>
    <t>GS9219</t>
  </si>
  <si>
    <t>07/17/2023 04:30:00</t>
  </si>
  <si>
    <t>Einstein Castillo</t>
  </si>
  <si>
    <t>mosquera</t>
  </si>
  <si>
    <t>Bogotá aeropuerto</t>
  </si>
  <si>
    <t>07/17/2023 05:01:00</t>
  </si>
  <si>
    <t>co100000</t>
  </si>
  <si>
    <t>GS9192</t>
  </si>
  <si>
    <t>07/17/2023 05:40:00</t>
  </si>
  <si>
    <t>LHO-149</t>
  </si>
  <si>
    <t>COL_TDELTA</t>
  </si>
  <si>
    <t>VAN</t>
  </si>
  <si>
    <t>PUERTO WILCHES</t>
  </si>
  <si>
    <t>07/23/2023 22:40:00</t>
  </si>
  <si>
    <t>J.22.065654</t>
  </si>
  <si>
    <t>GS9191</t>
  </si>
  <si>
    <t>JYY347</t>
  </si>
  <si>
    <t>07/23/2023 22:30:00</t>
  </si>
  <si>
    <t>Paola Andrea Chacon Acuna</t>
  </si>
  <si>
    <t xml:space="preserve"> LIGHT</t>
  </si>
  <si>
    <t>EMPLOYEE TRAVEL</t>
  </si>
  <si>
    <t>Error</t>
  </si>
  <si>
    <t>YES</t>
  </si>
  <si>
    <t>Jan-24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</si>
</sst>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" x14ac:knownFonts="1"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2" fillId="2" borderId="0" xfId="0" applyFont="1" applyFill="1"/>
    <xf numFmtId="16" fontId="1" fillId="0" borderId="0" xfId="0" applyNumberFormat="1" applyFont="1"/>
    <xf numFmtId="16" fontId="0" fillId="0" borderId="0" xfId="0" applyNumberFormat="1"/>
    <xf numFmtId="16" fontId="0" fillId="2" borderId="0" xfId="0" applyNumberFormat="1" applyFill="1"/>
    <xf numFmtId="49" fontId="0" fillId="0" borderId="0" xfId="0" applyNumberFormat="1"/>
    <xf numFmtId="0" fontId="2" fillId="0" borderId="0" xfId="0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V100"/>
  <sheetViews>
    <sheetView tabSelected="1" topLeftCell="AF1" workbookViewId="0">
      <selection activeCell="AJ14" sqref="AJ14"/>
    </sheetView>
  </sheetViews>
  <sheetFormatPr baseColWidth="10" defaultColWidth="9.140625" defaultRowHeight="15" x14ac:dyDescent="0.25"/>
  <cols>
    <col min="1" max="1" width="18" customWidth="1"/>
    <col min="2" max="3" width="10.5703125" bestFit="1" customWidth="1"/>
    <col min="4" max="4" width="42.42578125" bestFit="1" customWidth="1"/>
    <col min="5" max="5" width="7" bestFit="1" customWidth="1"/>
    <col min="6" max="6" width="11.7109375" bestFit="1" customWidth="1"/>
    <col min="7" max="7" width="35.28515625" bestFit="1" customWidth="1"/>
    <col min="8" max="8" width="23.42578125" bestFit="1" customWidth="1"/>
    <col min="9" max="9" width="76.5703125" bestFit="1" customWidth="1"/>
    <col min="10" max="10" width="12.85546875" bestFit="1" customWidth="1"/>
    <col min="11" max="11" width="10.5703125" bestFit="1" customWidth="1"/>
    <col min="12" max="12" width="8.140625" bestFit="1" customWidth="1"/>
    <col min="13" max="13" width="16.42578125" bestFit="1" customWidth="1"/>
    <col min="14" max="14" width="23.42578125" bestFit="1" customWidth="1"/>
    <col min="15" max="15" width="31.7109375" bestFit="1" customWidth="1"/>
    <col min="16" max="16" width="18.7109375" bestFit="1" customWidth="1"/>
    <col min="17" max="18" width="21.140625" bestFit="1" customWidth="1"/>
    <col min="19" max="19" width="17.5703125" bestFit="1" customWidth="1"/>
    <col min="20" max="20" width="20" bestFit="1" customWidth="1"/>
    <col min="21" max="21" width="44.7109375" bestFit="1" customWidth="1"/>
    <col min="22" max="22" width="15.28515625" bestFit="1" customWidth="1"/>
    <col min="23" max="23" width="27" bestFit="1" customWidth="1"/>
    <col min="24" max="24" width="8.140625" bestFit="1" customWidth="1"/>
    <col min="25" max="25" width="12.85546875" bestFit="1" customWidth="1"/>
    <col min="26" max="26" width="36.42578125" bestFit="1" customWidth="1"/>
    <col min="27" max="27" width="25.85546875" bestFit="1" customWidth="1"/>
    <col min="28" max="28" width="100.140625" bestFit="1" customWidth="1"/>
    <col min="29" max="29" width="14" bestFit="1" customWidth="1"/>
    <col min="30" max="30" width="36.42578125" bestFit="1" customWidth="1"/>
    <col min="31" max="31" width="27" bestFit="1" customWidth="1"/>
    <col min="32" max="32" width="23.42578125" bestFit="1" customWidth="1"/>
    <col min="33" max="33" width="9.28515625" bestFit="1" customWidth="1"/>
    <col min="34" max="34" width="12.85546875" bestFit="1" customWidth="1"/>
    <col min="35" max="36" width="14" bestFit="1" customWidth="1"/>
    <col min="37" max="37" width="18.7109375" bestFit="1" customWidth="1"/>
    <col min="38" max="38" width="34.140625" bestFit="1" customWidth="1"/>
    <col min="39" max="39" width="20" bestFit="1" customWidth="1"/>
    <col min="40" max="40" width="17.5703125" bestFit="1" customWidth="1"/>
    <col min="41" max="41" width="9.28515625" bestFit="1" customWidth="1"/>
    <col min="42" max="42" width="12.85546875" bestFit="1" customWidth="1"/>
    <col min="43" max="43" width="21.140625" bestFit="1" customWidth="1"/>
    <col min="44" max="44" width="24.7109375" bestFit="1" customWidth="1"/>
    <col min="45" max="45" width="11.7109375" bestFit="1" customWidth="1"/>
    <col min="46" max="46" width="10.5703125" bestFit="1" customWidth="1"/>
    <col min="47" max="47" width="17.5703125" bestFit="1" customWidth="1"/>
    <col min="48" max="48" width="16.42578125" bestFit="1" customWidth="1"/>
    <col min="49" max="49" width="14" bestFit="1" customWidth="1"/>
    <col min="50" max="50" width="21.140625" bestFit="1" customWidth="1"/>
    <col min="51" max="51" width="17.5703125" bestFit="1" customWidth="1"/>
    <col min="52" max="52" width="11.7109375" bestFit="1" customWidth="1"/>
    <col min="53" max="53" width="10.5703125" bestFit="1" customWidth="1"/>
    <col min="54" max="54" width="15.28515625" bestFit="1" customWidth="1"/>
    <col min="55" max="55" width="10.5703125" bestFit="1" customWidth="1"/>
    <col min="56" max="56" width="7" bestFit="1" customWidth="1"/>
    <col min="57" max="57" width="11.7109375" bestFit="1" customWidth="1"/>
    <col min="58" max="58" width="16.42578125" bestFit="1" customWidth="1"/>
    <col min="59" max="59" width="23.42578125" bestFit="1" customWidth="1"/>
    <col min="60" max="60" width="16.42578125" bestFit="1" customWidth="1"/>
    <col min="61" max="61" width="38.85546875" bestFit="1" customWidth="1"/>
    <col min="62" max="62" width="9.28515625" bestFit="1" customWidth="1"/>
    <col min="63" max="63" width="18.7109375" bestFit="1" customWidth="1"/>
    <col min="64" max="64" width="16.42578125" bestFit="1" customWidth="1"/>
    <col min="65" max="65" width="3.42578125" bestFit="1" customWidth="1"/>
    <col min="66" max="66" width="16.42578125" bestFit="1" customWidth="1"/>
    <col min="67" max="67" width="17.5703125" bestFit="1" customWidth="1"/>
    <col min="68" max="68" width="9.28515625" bestFit="1" customWidth="1"/>
    <col min="69" max="70" width="12.85546875" bestFit="1" customWidth="1"/>
    <col min="71" max="71" width="16.42578125" bestFit="1" customWidth="1"/>
    <col min="72" max="72" width="11.7109375" bestFit="1" customWidth="1"/>
    <col min="73" max="73" width="5.85546875" bestFit="1" customWidth="1"/>
    <col min="74" max="74" width="11.7109375" bestFit="1" customWidth="1"/>
    <col min="75" max="76" width="16.42578125" bestFit="1" customWidth="1"/>
    <col min="77" max="77" width="27" bestFit="1" customWidth="1"/>
    <col min="78" max="78" width="17.5703125" bestFit="1" customWidth="1"/>
    <col min="79" max="79" width="35.28515625" bestFit="1" customWidth="1"/>
    <col min="80" max="80" width="15.28515625" bestFit="1" customWidth="1"/>
    <col min="81" max="81" width="22.28515625" bestFit="1" customWidth="1"/>
    <col min="82" max="82" width="12.85546875" bestFit="1" customWidth="1"/>
    <col min="83" max="84" width="18.7109375" bestFit="1" customWidth="1"/>
    <col min="85" max="85" width="15.28515625" bestFit="1" customWidth="1"/>
    <col min="86" max="86" width="28.140625" bestFit="1" customWidth="1"/>
    <col min="87" max="87" width="21.140625" bestFit="1" customWidth="1"/>
    <col min="88" max="88" width="18.7109375" bestFit="1" customWidth="1"/>
    <col min="89" max="89" width="14" bestFit="1" customWidth="1"/>
    <col min="90" max="90" width="17.5703125" bestFit="1" customWidth="1"/>
    <col min="91" max="92" width="18.7109375" bestFit="1" customWidth="1"/>
    <col min="93" max="93" width="23.42578125" bestFit="1" customWidth="1"/>
    <col min="94" max="94" width="38.85546875" bestFit="1" customWidth="1"/>
    <col min="95" max="95" width="24.7109375" bestFit="1" customWidth="1"/>
    <col min="96" max="96" width="25.85546875" bestFit="1" customWidth="1"/>
    <col min="97" max="97" width="15.28515625" bestFit="1" customWidth="1"/>
    <col min="98" max="98" width="11.7109375" bestFit="1" customWidth="1"/>
    <col min="99" max="99" width="15.28515625" bestFit="1" customWidth="1"/>
    <col min="100" max="100" width="31.7109375" bestFit="1" customWidth="1"/>
    <col min="101" max="101" width="30.5703125" bestFit="1" customWidth="1"/>
    <col min="102" max="102" width="29.42578125" bestFit="1" customWidth="1"/>
    <col min="103" max="103" width="20" bestFit="1" customWidth="1"/>
    <col min="104" max="104" width="37.7109375" bestFit="1" customWidth="1"/>
    <col min="105" max="105" width="17.5703125" bestFit="1" customWidth="1"/>
    <col min="106" max="106" width="24.7109375" bestFit="1" customWidth="1"/>
    <col min="107" max="107" width="15.28515625" bestFit="1" customWidth="1"/>
    <col min="108" max="109" width="21.140625" bestFit="1" customWidth="1"/>
    <col min="110" max="110" width="17.5703125" bestFit="1" customWidth="1"/>
    <col min="111" max="111" width="30.5703125" bestFit="1" customWidth="1"/>
    <col min="112" max="112" width="23.42578125" bestFit="1" customWidth="1"/>
    <col min="113" max="113" width="21.140625" bestFit="1" customWidth="1"/>
    <col min="114" max="114" width="16.42578125" bestFit="1" customWidth="1"/>
    <col min="115" max="115" width="20" bestFit="1" customWidth="1"/>
    <col min="116" max="117" width="21.140625" bestFit="1" customWidth="1"/>
    <col min="118" max="118" width="25.85546875" bestFit="1" customWidth="1"/>
    <col min="119" max="119" width="41.140625" bestFit="1" customWidth="1"/>
    <col min="120" max="120" width="27" bestFit="1" customWidth="1"/>
    <col min="121" max="121" width="28.140625" bestFit="1" customWidth="1"/>
    <col min="122" max="122" width="17.5703125" bestFit="1" customWidth="1"/>
    <col min="123" max="123" width="14" bestFit="1" customWidth="1"/>
    <col min="124" max="124" width="17.5703125" bestFit="1" customWidth="1"/>
    <col min="125" max="125" width="34.140625" bestFit="1" customWidth="1"/>
    <col min="126" max="126" width="33" bestFit="1" customWidth="1"/>
    <col min="127" max="127" width="29.42578125" bestFit="1" customWidth="1"/>
    <col min="128" max="128" width="20" bestFit="1" customWidth="1"/>
    <col min="129" max="129" width="37.7109375" bestFit="1" customWidth="1"/>
    <col min="130" max="130" width="17.5703125" bestFit="1" customWidth="1"/>
    <col min="131" max="131" width="24.7109375" bestFit="1" customWidth="1"/>
    <col min="132" max="132" width="15.28515625" bestFit="1" customWidth="1"/>
    <col min="133" max="134" width="21.140625" bestFit="1" customWidth="1"/>
    <col min="135" max="135" width="17.5703125" bestFit="1" customWidth="1"/>
    <col min="136" max="136" width="30.5703125" bestFit="1" customWidth="1"/>
    <col min="137" max="137" width="23.42578125" bestFit="1" customWidth="1"/>
    <col min="138" max="138" width="21.140625" bestFit="1" customWidth="1"/>
    <col min="139" max="139" width="16.42578125" bestFit="1" customWidth="1"/>
    <col min="140" max="140" width="20" bestFit="1" customWidth="1"/>
    <col min="141" max="142" width="21.140625" bestFit="1" customWidth="1"/>
    <col min="143" max="143" width="25.85546875" bestFit="1" customWidth="1"/>
    <col min="144" max="144" width="41.140625" bestFit="1" customWidth="1"/>
    <col min="145" max="145" width="27" bestFit="1" customWidth="1"/>
    <col min="146" max="146" width="28.140625" bestFit="1" customWidth="1"/>
    <col min="147" max="147" width="17.5703125" bestFit="1" customWidth="1"/>
    <col min="148" max="148" width="14" bestFit="1" customWidth="1"/>
    <col min="149" max="149" width="17.5703125" bestFit="1" customWidth="1"/>
    <col min="150" max="150" width="34.140625" bestFit="1" customWidth="1"/>
    <col min="151" max="151" width="33" bestFit="1" customWidth="1"/>
    <col min="152" max="152" width="16.42578125" bestFit="1" customWidth="1"/>
    <col min="153" max="154" width="21.140625" bestFit="1" customWidth="1"/>
    <col min="155" max="155" width="14" bestFit="1" customWidth="1"/>
    <col min="156" max="156" width="21.140625" bestFit="1" customWidth="1"/>
    <col min="157" max="157" width="22.28515625" bestFit="1" customWidth="1"/>
    <col min="158" max="158" width="14" bestFit="1" customWidth="1"/>
    <col min="159" max="159" width="21.140625" bestFit="1" customWidth="1"/>
    <col min="160" max="160" width="16.42578125" bestFit="1" customWidth="1"/>
    <col min="161" max="161" width="18.7109375" bestFit="1" customWidth="1"/>
    <col min="162" max="163" width="23.42578125" bestFit="1" customWidth="1"/>
    <col min="164" max="164" width="16.42578125" bestFit="1" customWidth="1"/>
    <col min="165" max="165" width="23.42578125" bestFit="1" customWidth="1"/>
    <col min="166" max="166" width="24.7109375" bestFit="1" customWidth="1"/>
    <col min="167" max="167" width="16.42578125" bestFit="1" customWidth="1"/>
    <col min="168" max="168" width="23.42578125" bestFit="1" customWidth="1"/>
    <col min="169" max="170" width="18.7109375" bestFit="1" customWidth="1"/>
    <col min="171" max="172" width="23.42578125" bestFit="1" customWidth="1"/>
    <col min="173" max="173" width="16.42578125" bestFit="1" customWidth="1"/>
    <col min="174" max="174" width="23.42578125" bestFit="1" customWidth="1"/>
    <col min="175" max="175" width="24.7109375" bestFit="1" customWidth="1"/>
    <col min="176" max="176" width="16.42578125" bestFit="1" customWidth="1"/>
    <col min="177" max="177" width="23.42578125" bestFit="1" customWidth="1"/>
    <col min="178" max="178" width="18.7109375" bestFit="1" customWidth="1"/>
  </cols>
  <sheetData>
    <row r="1" spans="1:178" x14ac:dyDescent="0.25">
      <c r="A1" s="1" t="s">
        <v>462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460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6">
        <v>45161</v>
      </c>
      <c r="Q1" s="1" t="s">
        <v>13</v>
      </c>
      <c r="R1" s="1" t="s">
        <v>14</v>
      </c>
      <c r="S1" s="1" t="s">
        <v>209</v>
      </c>
      <c r="T1" s="1" t="s">
        <v>210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23</v>
      </c>
      <c r="AD1" s="1" t="s">
        <v>24</v>
      </c>
      <c r="AE1" s="1" t="s">
        <v>25</v>
      </c>
      <c r="AF1" s="1" t="s">
        <v>26</v>
      </c>
      <c r="AG1" s="1" t="s">
        <v>27</v>
      </c>
      <c r="AH1" s="1" t="s">
        <v>28</v>
      </c>
      <c r="AI1" s="1" t="s">
        <v>29</v>
      </c>
      <c r="AJ1" s="1" t="s">
        <v>30</v>
      </c>
      <c r="AK1" s="1" t="s">
        <v>31</v>
      </c>
      <c r="AL1" s="1" t="s">
        <v>32</v>
      </c>
      <c r="AM1" s="1" t="s">
        <v>33</v>
      </c>
      <c r="AN1" s="1" t="s">
        <v>463</v>
      </c>
      <c r="AO1" s="1" t="s">
        <v>34</v>
      </c>
      <c r="AP1" s="1" t="s">
        <v>35</v>
      </c>
      <c r="AQ1" s="1" t="s">
        <v>36</v>
      </c>
      <c r="AR1" s="1" t="s">
        <v>37</v>
      </c>
      <c r="AS1" s="1" t="s">
        <v>38</v>
      </c>
      <c r="AT1" s="1" t="s">
        <v>39</v>
      </c>
      <c r="AU1" s="1" t="s">
        <v>40</v>
      </c>
      <c r="AV1" s="1" t="s">
        <v>41</v>
      </c>
      <c r="AW1" s="1" t="s">
        <v>42</v>
      </c>
      <c r="AX1" s="1" t="s">
        <v>43</v>
      </c>
      <c r="AY1" s="1" t="s">
        <v>44</v>
      </c>
      <c r="AZ1" s="1" t="s">
        <v>45</v>
      </c>
      <c r="BA1" s="1" t="s">
        <v>8</v>
      </c>
      <c r="BB1" s="1" t="s">
        <v>46</v>
      </c>
      <c r="BC1" s="1" t="s">
        <v>47</v>
      </c>
      <c r="BD1" s="1" t="s">
        <v>48</v>
      </c>
      <c r="BE1" s="1" t="s">
        <v>49</v>
      </c>
      <c r="BF1" s="1" t="s">
        <v>50</v>
      </c>
      <c r="BG1" s="1" t="s">
        <v>51</v>
      </c>
      <c r="BH1" s="1" t="s">
        <v>52</v>
      </c>
      <c r="BI1" s="1" t="s">
        <v>53</v>
      </c>
      <c r="BJ1" s="1" t="s">
        <v>54</v>
      </c>
      <c r="BK1" s="1" t="s">
        <v>55</v>
      </c>
      <c r="BL1" s="1" t="s">
        <v>56</v>
      </c>
      <c r="BM1" s="1" t="s">
        <v>57</v>
      </c>
      <c r="BN1" s="1" t="s">
        <v>58</v>
      </c>
      <c r="BO1" s="1" t="s">
        <v>59</v>
      </c>
      <c r="BP1" s="1" t="s">
        <v>6</v>
      </c>
      <c r="BQ1" s="1" t="s">
        <v>60</v>
      </c>
      <c r="BR1" s="1" t="s">
        <v>61</v>
      </c>
      <c r="BS1" s="1" t="s">
        <v>62</v>
      </c>
      <c r="BT1" s="1" t="s">
        <v>63</v>
      </c>
      <c r="BU1" s="1" t="s">
        <v>64</v>
      </c>
      <c r="BV1" s="1" t="s">
        <v>65</v>
      </c>
      <c r="BW1" s="1" t="s">
        <v>66</v>
      </c>
      <c r="BX1" s="1" t="s">
        <v>67</v>
      </c>
      <c r="BY1" s="1" t="s">
        <v>68</v>
      </c>
      <c r="BZ1" s="1" t="s">
        <v>69</v>
      </c>
      <c r="CA1" s="1" t="s">
        <v>70</v>
      </c>
      <c r="CB1" s="1" t="s">
        <v>71</v>
      </c>
      <c r="CC1" s="1" t="s">
        <v>72</v>
      </c>
      <c r="CD1" s="1" t="s">
        <v>73</v>
      </c>
      <c r="CE1" s="1" t="s">
        <v>74</v>
      </c>
      <c r="CF1" s="1" t="s">
        <v>75</v>
      </c>
      <c r="CG1" s="1" t="s">
        <v>76</v>
      </c>
      <c r="CH1" s="1" t="s">
        <v>77</v>
      </c>
      <c r="CI1" s="1" t="s">
        <v>78</v>
      </c>
      <c r="CJ1" s="1" t="s">
        <v>79</v>
      </c>
      <c r="CK1" s="1" t="s">
        <v>80</v>
      </c>
      <c r="CL1" s="1" t="s">
        <v>81</v>
      </c>
      <c r="CM1" s="1" t="s">
        <v>82</v>
      </c>
      <c r="CN1" s="1" t="s">
        <v>83</v>
      </c>
      <c r="CO1" s="1" t="s">
        <v>84</v>
      </c>
      <c r="CP1" s="1" t="s">
        <v>85</v>
      </c>
      <c r="CQ1" s="1" t="s">
        <v>86</v>
      </c>
      <c r="CR1" s="1" t="s">
        <v>87</v>
      </c>
      <c r="CS1" s="1" t="s">
        <v>88</v>
      </c>
      <c r="CT1" s="1" t="s">
        <v>89</v>
      </c>
      <c r="CU1" s="1" t="s">
        <v>90</v>
      </c>
      <c r="CV1" s="1" t="s">
        <v>91</v>
      </c>
      <c r="CW1" s="1" t="s">
        <v>92</v>
      </c>
      <c r="CX1" s="1" t="s">
        <v>93</v>
      </c>
      <c r="CY1" s="1" t="s">
        <v>94</v>
      </c>
      <c r="CZ1" s="1" t="s">
        <v>95</v>
      </c>
      <c r="DA1" s="1" t="s">
        <v>96</v>
      </c>
      <c r="DB1" s="1" t="s">
        <v>97</v>
      </c>
      <c r="DC1" s="1" t="s">
        <v>98</v>
      </c>
      <c r="DD1" s="1" t="s">
        <v>99</v>
      </c>
      <c r="DE1" s="1" t="s">
        <v>100</v>
      </c>
      <c r="DF1" s="1" t="s">
        <v>101</v>
      </c>
      <c r="DG1" s="1" t="s">
        <v>102</v>
      </c>
      <c r="DH1" s="1" t="s">
        <v>103</v>
      </c>
      <c r="DI1" s="1" t="s">
        <v>104</v>
      </c>
      <c r="DJ1" s="1" t="s">
        <v>105</v>
      </c>
      <c r="DK1" s="1" t="s">
        <v>106</v>
      </c>
      <c r="DL1" s="1" t="s">
        <v>107</v>
      </c>
      <c r="DM1" s="1" t="s">
        <v>108</v>
      </c>
      <c r="DN1" s="1" t="s">
        <v>109</v>
      </c>
      <c r="DO1" s="1" t="s">
        <v>110</v>
      </c>
      <c r="DP1" s="1" t="s">
        <v>111</v>
      </c>
      <c r="DQ1" s="1" t="s">
        <v>112</v>
      </c>
      <c r="DR1" s="1" t="s">
        <v>113</v>
      </c>
      <c r="DS1" s="1" t="s">
        <v>114</v>
      </c>
      <c r="DT1" s="1" t="s">
        <v>115</v>
      </c>
      <c r="DU1" s="1" t="s">
        <v>116</v>
      </c>
      <c r="DV1" s="1" t="s">
        <v>117</v>
      </c>
      <c r="DW1" s="1" t="s">
        <v>118</v>
      </c>
      <c r="DX1" s="1" t="s">
        <v>119</v>
      </c>
      <c r="DY1" s="1" t="s">
        <v>120</v>
      </c>
      <c r="DZ1" s="1" t="s">
        <v>121</v>
      </c>
      <c r="EA1" s="1" t="s">
        <v>122</v>
      </c>
      <c r="EB1" s="1" t="s">
        <v>123</v>
      </c>
      <c r="EC1" s="1" t="s">
        <v>124</v>
      </c>
      <c r="ED1" s="1" t="s">
        <v>125</v>
      </c>
      <c r="EE1" s="1" t="s">
        <v>126</v>
      </c>
      <c r="EF1" s="1" t="s">
        <v>127</v>
      </c>
      <c r="EG1" s="1" t="s">
        <v>128</v>
      </c>
      <c r="EH1" s="1" t="s">
        <v>129</v>
      </c>
      <c r="EI1" s="1" t="s">
        <v>130</v>
      </c>
      <c r="EJ1" s="1" t="s">
        <v>131</v>
      </c>
      <c r="EK1" s="1" t="s">
        <v>132</v>
      </c>
      <c r="EL1" s="1" t="s">
        <v>133</v>
      </c>
      <c r="EM1" s="1" t="s">
        <v>134</v>
      </c>
      <c r="EN1" s="1" t="s">
        <v>135</v>
      </c>
      <c r="EO1" s="1" t="s">
        <v>136</v>
      </c>
      <c r="EP1" s="1" t="s">
        <v>137</v>
      </c>
      <c r="EQ1" s="1" t="s">
        <v>138</v>
      </c>
      <c r="ER1" s="1" t="s">
        <v>139</v>
      </c>
      <c r="ES1" s="1" t="s">
        <v>140</v>
      </c>
      <c r="ET1" s="1" t="s">
        <v>141</v>
      </c>
      <c r="EU1" s="1" t="s">
        <v>142</v>
      </c>
      <c r="EV1" s="1" t="s">
        <v>143</v>
      </c>
      <c r="EW1" s="1" t="s">
        <v>144</v>
      </c>
      <c r="EX1" s="1" t="s">
        <v>145</v>
      </c>
      <c r="EY1" s="1" t="s">
        <v>146</v>
      </c>
      <c r="EZ1" s="1" t="s">
        <v>147</v>
      </c>
      <c r="FA1" s="1" t="s">
        <v>148</v>
      </c>
      <c r="FB1" s="1" t="s">
        <v>149</v>
      </c>
      <c r="FC1" s="1" t="s">
        <v>150</v>
      </c>
      <c r="FD1" s="1" t="s">
        <v>151</v>
      </c>
      <c r="FE1" s="1" t="s">
        <v>152</v>
      </c>
      <c r="FF1" s="1" t="s">
        <v>153</v>
      </c>
      <c r="FG1" s="1" t="s">
        <v>154</v>
      </c>
      <c r="FH1" s="1" t="s">
        <v>155</v>
      </c>
      <c r="FI1" s="1" t="s">
        <v>156</v>
      </c>
      <c r="FJ1" s="1" t="s">
        <v>157</v>
      </c>
      <c r="FK1" s="1" t="s">
        <v>158</v>
      </c>
      <c r="FL1" s="1" t="s">
        <v>159</v>
      </c>
      <c r="FM1" s="1" t="s">
        <v>160</v>
      </c>
      <c r="FN1" s="1" t="s">
        <v>161</v>
      </c>
      <c r="FO1" s="1" t="s">
        <v>162</v>
      </c>
      <c r="FP1" s="1" t="s">
        <v>163</v>
      </c>
      <c r="FQ1" s="1" t="s">
        <v>164</v>
      </c>
      <c r="FR1" s="1" t="s">
        <v>165</v>
      </c>
      <c r="FS1" s="1" t="s">
        <v>166</v>
      </c>
      <c r="FT1" s="1" t="s">
        <v>167</v>
      </c>
      <c r="FU1" s="1" t="s">
        <v>168</v>
      </c>
      <c r="FV1" s="1" t="s">
        <v>169</v>
      </c>
    </row>
    <row r="2" spans="1:178" x14ac:dyDescent="0.25">
      <c r="A2" t="s">
        <v>170</v>
      </c>
      <c r="C2" t="s">
        <v>170</v>
      </c>
      <c r="D2" t="s">
        <v>171</v>
      </c>
      <c r="E2" t="s">
        <v>172</v>
      </c>
      <c r="G2" t="s">
        <v>173</v>
      </c>
      <c r="H2" t="s">
        <v>174</v>
      </c>
      <c r="I2" t="s">
        <v>460</v>
      </c>
      <c r="J2" t="s">
        <v>170</v>
      </c>
      <c r="K2" t="s">
        <v>170</v>
      </c>
      <c r="L2" s="9" t="s">
        <v>465</v>
      </c>
      <c r="O2" t="s">
        <v>176</v>
      </c>
      <c r="P2" s="7">
        <v>45161</v>
      </c>
      <c r="Q2" t="s">
        <v>177</v>
      </c>
      <c r="R2" t="s">
        <v>178</v>
      </c>
      <c r="S2" t="s">
        <v>209</v>
      </c>
      <c r="T2" t="s">
        <v>210</v>
      </c>
      <c r="V2" t="s">
        <v>179</v>
      </c>
      <c r="W2" t="s">
        <v>461</v>
      </c>
      <c r="Z2" t="s">
        <v>175</v>
      </c>
      <c r="AA2" t="s">
        <v>180</v>
      </c>
      <c r="AB2" t="s">
        <v>180</v>
      </c>
      <c r="AD2" t="s">
        <v>174</v>
      </c>
      <c r="AE2" s="10" t="s">
        <v>174</v>
      </c>
      <c r="AF2" s="10" t="s">
        <v>181</v>
      </c>
      <c r="AN2">
        <v>3</v>
      </c>
      <c r="AU2" s="2" t="str">
        <f>IF(ISNUMBER(FIND("Call Out",D2)),SUM(AG2:AH2)+SUM(AJ2:AM2)+SUM(AO2:AT2),IF(ISNUMBER(FIND("Renta Solicitada",D2)),IF(AND(AV2&lt;&gt;"",AV2&gt;0),IF(AND(AW2&lt;&gt;"",AW2&gt;0),AW2*(AV2/(SUMPRODUCT(--(L2:L52=L2),AV2:AV52))),""),""),""))</f>
        <v/>
      </c>
      <c r="AV2" s="2" t="str">
        <f t="shared" ref="AV2:AV33" si="0">IF(ISNUMBER(FIND("Call Out",D2)),"",IF(ISNUMBER(FIND("Renta Solicitada",D2)),SUM(AG2:AH2)+SUM(AJ2:AM2)+SUM(AO2:AT2),""))</f>
        <v/>
      </c>
      <c r="AY2" s="2">
        <f t="shared" ref="AY2:AY33" si="1">PRODUCT(AU2,AX2)</f>
        <v>0</v>
      </c>
      <c r="BI2" t="s">
        <v>182</v>
      </c>
      <c r="BR2" t="s">
        <v>462</v>
      </c>
    </row>
    <row r="3" spans="1:178" x14ac:dyDescent="0.25">
      <c r="A3" t="s">
        <v>183</v>
      </c>
      <c r="C3" t="s">
        <v>183</v>
      </c>
      <c r="D3" t="s">
        <v>184</v>
      </c>
      <c r="E3" t="s">
        <v>172</v>
      </c>
      <c r="G3" t="s">
        <v>185</v>
      </c>
      <c r="H3" t="s">
        <v>186</v>
      </c>
      <c r="I3" t="s">
        <v>460</v>
      </c>
      <c r="J3" t="s">
        <v>183</v>
      </c>
      <c r="K3" t="s">
        <v>183</v>
      </c>
      <c r="L3" s="9" t="s">
        <v>465</v>
      </c>
      <c r="O3" t="s">
        <v>176</v>
      </c>
      <c r="P3" s="7">
        <v>45161</v>
      </c>
      <c r="Q3" t="s">
        <v>188</v>
      </c>
      <c r="R3" t="s">
        <v>189</v>
      </c>
      <c r="S3" t="s">
        <v>209</v>
      </c>
      <c r="T3" t="s">
        <v>210</v>
      </c>
      <c r="V3" t="s">
        <v>190</v>
      </c>
      <c r="W3" t="s">
        <v>461</v>
      </c>
      <c r="Z3" t="s">
        <v>187</v>
      </c>
      <c r="AA3" t="s">
        <v>191</v>
      </c>
      <c r="AB3" t="s">
        <v>191</v>
      </c>
      <c r="AD3" t="s">
        <v>186</v>
      </c>
      <c r="AE3" t="s">
        <v>186</v>
      </c>
      <c r="AF3" t="s">
        <v>192</v>
      </c>
      <c r="AN3">
        <v>15</v>
      </c>
      <c r="AU3" s="2" t="str">
        <f>IF(ISNUMBER(FIND("Call Out",D3)),SUM(AG3:AH3)+SUM(AJ3:AM3)+SUM(AO3:AT3),IF(ISNUMBER(FIND("Renta Solicitada",D3)),IF(AND(AV3&lt;&gt;"",AV3&gt;0),IF(AND(AW3&lt;&gt;"",AW3&gt;0),AW3*(AV3/(SUMPRODUCT(--(L2:L52=L3),AV2:AV52))),""),""),""))</f>
        <v/>
      </c>
      <c r="AV3" s="2" t="str">
        <f t="shared" si="0"/>
        <v/>
      </c>
      <c r="AY3" s="2">
        <f t="shared" si="1"/>
        <v>0</v>
      </c>
      <c r="BI3" t="s">
        <v>193</v>
      </c>
      <c r="BR3" t="s">
        <v>462</v>
      </c>
    </row>
    <row r="4" spans="1:178" s="3" customFormat="1" x14ac:dyDescent="0.25">
      <c r="A4" s="3" t="s">
        <v>194</v>
      </c>
      <c r="C4" s="3" t="s">
        <v>194</v>
      </c>
      <c r="D4" s="3" t="s">
        <v>171</v>
      </c>
      <c r="E4" s="3" t="s">
        <v>195</v>
      </c>
      <c r="G4" s="3" t="s">
        <v>173</v>
      </c>
      <c r="H4" s="3" t="s">
        <v>196</v>
      </c>
      <c r="I4" s="3" t="s">
        <v>460</v>
      </c>
      <c r="J4" s="3" t="s">
        <v>194</v>
      </c>
      <c r="K4" s="3" t="s">
        <v>194</v>
      </c>
      <c r="L4" s="9" t="s">
        <v>465</v>
      </c>
      <c r="O4" s="3" t="s">
        <v>176</v>
      </c>
      <c r="P4" s="8">
        <v>45161</v>
      </c>
      <c r="Q4" s="3" t="s">
        <v>188</v>
      </c>
      <c r="R4" s="3" t="s">
        <v>189</v>
      </c>
      <c r="S4" t="s">
        <v>209</v>
      </c>
      <c r="T4" t="s">
        <v>210</v>
      </c>
      <c r="V4" s="3" t="s">
        <v>190</v>
      </c>
      <c r="W4" s="5" t="s">
        <v>461</v>
      </c>
      <c r="Z4" s="3" t="s">
        <v>187</v>
      </c>
      <c r="AA4" s="3" t="s">
        <v>197</v>
      </c>
      <c r="AB4" s="3" t="s">
        <v>198</v>
      </c>
      <c r="AD4" s="5" t="s">
        <v>196</v>
      </c>
      <c r="AE4" s="3" t="s">
        <v>196</v>
      </c>
      <c r="AF4" s="3" t="s">
        <v>199</v>
      </c>
      <c r="AN4" s="3">
        <v>1</v>
      </c>
      <c r="AU4" s="4" t="str">
        <f>IF(ISNUMBER(FIND("Call Out",D4)),SUM(AG4:AH4)+SUM(AJ4:AM4)+SUM(AO4:AT4),IF(ISNUMBER(FIND("Renta Solicitada",D4)),IF(AND(AV4&lt;&gt;"",AV4&gt;0),IF(AND(AW4&lt;&gt;"",AW4&gt;0),AW4*(AV4/(SUMPRODUCT(--(L2:L52=L4),AV2:AV52))),""),""),""))</f>
        <v/>
      </c>
      <c r="AV4" s="4" t="str">
        <f t="shared" si="0"/>
        <v/>
      </c>
      <c r="AY4" s="4">
        <f t="shared" si="1"/>
        <v>0</v>
      </c>
      <c r="BI4" s="5" t="s">
        <v>200</v>
      </c>
      <c r="BR4" s="3" t="s">
        <v>462</v>
      </c>
    </row>
    <row r="5" spans="1:178" x14ac:dyDescent="0.25">
      <c r="A5" t="s">
        <v>201</v>
      </c>
      <c r="C5" t="s">
        <v>201</v>
      </c>
      <c r="D5" t="s">
        <v>171</v>
      </c>
      <c r="E5" t="s">
        <v>195</v>
      </c>
      <c r="G5" t="s">
        <v>173</v>
      </c>
      <c r="H5" t="s">
        <v>202</v>
      </c>
      <c r="I5" t="s">
        <v>460</v>
      </c>
      <c r="J5" t="s">
        <v>201</v>
      </c>
      <c r="K5" t="s">
        <v>201</v>
      </c>
      <c r="L5" s="9" t="s">
        <v>465</v>
      </c>
      <c r="O5" t="s">
        <v>176</v>
      </c>
      <c r="P5" s="7">
        <v>45161</v>
      </c>
      <c r="Q5" t="s">
        <v>188</v>
      </c>
      <c r="R5" t="s">
        <v>189</v>
      </c>
      <c r="S5" t="s">
        <v>209</v>
      </c>
      <c r="T5" t="s">
        <v>210</v>
      </c>
      <c r="V5" t="s">
        <v>190</v>
      </c>
      <c r="W5" t="s">
        <v>461</v>
      </c>
      <c r="Z5" t="s">
        <v>187</v>
      </c>
      <c r="AA5" t="s">
        <v>203</v>
      </c>
      <c r="AB5" t="s">
        <v>204</v>
      </c>
      <c r="AD5" t="s">
        <v>202</v>
      </c>
      <c r="AE5" t="s">
        <v>202</v>
      </c>
      <c r="AF5" t="s">
        <v>205</v>
      </c>
      <c r="AN5">
        <v>1</v>
      </c>
      <c r="AU5" s="2" t="str">
        <f>IF(ISNUMBER(FIND("Call Out",D5)),SUM(AG5:AH5)+SUM(AJ5:AM5)+SUM(AO5:AT5),IF(ISNUMBER(FIND("Renta Solicitada",D5)),IF(AND(AV5&lt;&gt;"",AV5&gt;0),IF(AND(AW5&lt;&gt;"",AW5&gt;0),AW5*(AV5/(SUMPRODUCT(--(L2:L52=L5),AV2:AV52))),""),""),""))</f>
        <v/>
      </c>
      <c r="AV5" s="2" t="str">
        <f t="shared" si="0"/>
        <v/>
      </c>
      <c r="AY5" s="2">
        <f t="shared" si="1"/>
        <v>0</v>
      </c>
      <c r="BI5" t="s">
        <v>193</v>
      </c>
      <c r="BR5" t="s">
        <v>462</v>
      </c>
    </row>
    <row r="6" spans="1:178" x14ac:dyDescent="0.25">
      <c r="A6" t="s">
        <v>206</v>
      </c>
      <c r="C6" s="10" t="s">
        <v>206</v>
      </c>
      <c r="D6" t="s">
        <v>207</v>
      </c>
      <c r="E6" t="s">
        <v>195</v>
      </c>
      <c r="G6" t="s">
        <v>185</v>
      </c>
      <c r="H6" t="s">
        <v>208</v>
      </c>
      <c r="I6" t="s">
        <v>460</v>
      </c>
      <c r="J6" t="s">
        <v>206</v>
      </c>
      <c r="K6" t="s">
        <v>206</v>
      </c>
      <c r="L6" s="9" t="s">
        <v>465</v>
      </c>
      <c r="O6" t="s">
        <v>176</v>
      </c>
      <c r="P6" s="7">
        <v>45161</v>
      </c>
      <c r="Q6" t="s">
        <v>177</v>
      </c>
      <c r="R6" t="s">
        <v>178</v>
      </c>
      <c r="S6" t="s">
        <v>209</v>
      </c>
      <c r="T6" t="s">
        <v>210</v>
      </c>
      <c r="U6" t="s">
        <v>211</v>
      </c>
      <c r="V6" t="s">
        <v>190</v>
      </c>
      <c r="W6" t="s">
        <v>461</v>
      </c>
      <c r="Z6" t="s">
        <v>212</v>
      </c>
      <c r="AA6" t="s">
        <v>213</v>
      </c>
      <c r="AB6" t="s">
        <v>214</v>
      </c>
      <c r="AD6" t="s">
        <v>208</v>
      </c>
      <c r="AE6" t="s">
        <v>208</v>
      </c>
      <c r="AF6" t="s">
        <v>215</v>
      </c>
      <c r="AI6">
        <v>545000</v>
      </c>
      <c r="AJ6">
        <v>0</v>
      </c>
      <c r="AN6">
        <v>1</v>
      </c>
      <c r="AU6" s="2" t="str">
        <f>IF(ISNUMBER(FIND("Call Out",D6)),SUM(AG6:AH6)+SUM(AJ6:AM6)+SUM(AO6:AT6),IF(ISNUMBER(FIND("Renta Solicitada",D6)),IF(AND(AV6&lt;&gt;"",AV6&gt;0),IF(AND(AW6&lt;&gt;"",AW6&gt;0),AW6*(AV6/(SUMPRODUCT(--(L2:L52=L6),AV2:AV52))),""),""),""))</f>
        <v/>
      </c>
      <c r="AV6" s="2" t="str">
        <f t="shared" si="0"/>
        <v/>
      </c>
      <c r="AY6" s="2">
        <f t="shared" si="1"/>
        <v>0</v>
      </c>
      <c r="BI6" t="s">
        <v>216</v>
      </c>
      <c r="BR6" t="s">
        <v>462</v>
      </c>
    </row>
    <row r="7" spans="1:178" x14ac:dyDescent="0.25">
      <c r="A7" t="s">
        <v>217</v>
      </c>
      <c r="C7" t="s">
        <v>217</v>
      </c>
      <c r="D7" t="s">
        <v>218</v>
      </c>
      <c r="E7" t="s">
        <v>195</v>
      </c>
      <c r="G7" t="s">
        <v>173</v>
      </c>
      <c r="H7" t="s">
        <v>219</v>
      </c>
      <c r="I7" t="s">
        <v>460</v>
      </c>
      <c r="J7" t="s">
        <v>217</v>
      </c>
      <c r="K7" t="s">
        <v>217</v>
      </c>
      <c r="L7" s="9" t="s">
        <v>465</v>
      </c>
      <c r="O7" t="s">
        <v>176</v>
      </c>
      <c r="P7" s="7">
        <v>45161</v>
      </c>
      <c r="Q7" t="s">
        <v>177</v>
      </c>
      <c r="R7" t="s">
        <v>178</v>
      </c>
      <c r="S7" t="s">
        <v>209</v>
      </c>
      <c r="T7" t="s">
        <v>210</v>
      </c>
      <c r="U7" t="s">
        <v>220</v>
      </c>
      <c r="V7" t="s">
        <v>190</v>
      </c>
      <c r="W7" t="s">
        <v>461</v>
      </c>
      <c r="Z7" t="s">
        <v>221</v>
      </c>
      <c r="AA7" t="s">
        <v>222</v>
      </c>
      <c r="AB7" t="s">
        <v>223</v>
      </c>
      <c r="AD7" t="s">
        <v>219</v>
      </c>
      <c r="AE7" t="s">
        <v>219</v>
      </c>
      <c r="AF7" t="s">
        <v>224</v>
      </c>
      <c r="AN7">
        <v>1</v>
      </c>
      <c r="AU7" s="2" t="str">
        <f>IF(ISNUMBER(FIND("Call Out",D7)),SUM(AG7:AH7)+SUM(AJ7:AM7)+SUM(AO7:AT7),IF(ISNUMBER(FIND("Renta Solicitada",D7)),IF(AND(AV7&lt;&gt;"",AV7&gt;0),IF(AND(AW7&lt;&gt;"",AW7&gt;0),AW7*(AV7/(SUMPRODUCT(--(L2:L52=L7),AV2:AV52))),""),""),""))</f>
        <v/>
      </c>
      <c r="AV7" s="2">
        <f t="shared" si="0"/>
        <v>0</v>
      </c>
      <c r="AY7" s="2">
        <f t="shared" si="1"/>
        <v>0</v>
      </c>
      <c r="BI7" t="s">
        <v>216</v>
      </c>
      <c r="BR7" t="s">
        <v>462</v>
      </c>
    </row>
    <row r="8" spans="1:178" x14ac:dyDescent="0.25">
      <c r="A8" t="s">
        <v>225</v>
      </c>
      <c r="C8" t="s">
        <v>225</v>
      </c>
      <c r="D8" t="s">
        <v>226</v>
      </c>
      <c r="E8" t="s">
        <v>195</v>
      </c>
      <c r="G8" t="s">
        <v>173</v>
      </c>
      <c r="H8" t="s">
        <v>196</v>
      </c>
      <c r="I8" t="s">
        <v>460</v>
      </c>
      <c r="J8" t="s">
        <v>225</v>
      </c>
      <c r="K8" t="s">
        <v>225</v>
      </c>
      <c r="L8" s="9" t="s">
        <v>465</v>
      </c>
      <c r="O8" t="s">
        <v>176</v>
      </c>
      <c r="P8" s="7">
        <v>45161</v>
      </c>
      <c r="Q8" t="s">
        <v>227</v>
      </c>
      <c r="R8" t="s">
        <v>189</v>
      </c>
      <c r="S8" t="s">
        <v>209</v>
      </c>
      <c r="T8" t="s">
        <v>210</v>
      </c>
      <c r="U8" t="s">
        <v>228</v>
      </c>
      <c r="V8" t="s">
        <v>190</v>
      </c>
      <c r="W8" t="s">
        <v>461</v>
      </c>
      <c r="Z8" t="s">
        <v>229</v>
      </c>
      <c r="AA8" t="s">
        <v>230</v>
      </c>
      <c r="AB8" t="s">
        <v>230</v>
      </c>
      <c r="AD8" t="s">
        <v>196</v>
      </c>
      <c r="AE8" t="s">
        <v>196</v>
      </c>
      <c r="AF8" t="s">
        <v>231</v>
      </c>
      <c r="AN8">
        <v>23</v>
      </c>
      <c r="AU8" s="2">
        <f>IF(ISNUMBER(FIND("Call Out",D8)),SUM(AG8:AH8)+SUM(AJ8:AM8)+SUM(AO8:AT8),IF(ISNUMBER(FIND("Renta Solicitada",D8)),IF(AND(AV8&lt;&gt;"",AV8&gt;0),IF(AND(AW8&lt;&gt;"",AW8&gt;0),AW8*(AV8/(SUMPRODUCT(--(L2:L52=L8),AV2:AV52))),""),""),""))</f>
        <v>0</v>
      </c>
      <c r="AV8" s="2" t="str">
        <f t="shared" si="0"/>
        <v/>
      </c>
      <c r="AY8" s="2">
        <f t="shared" si="1"/>
        <v>0</v>
      </c>
      <c r="BI8" t="s">
        <v>232</v>
      </c>
      <c r="BR8" t="s">
        <v>462</v>
      </c>
    </row>
    <row r="9" spans="1:178" x14ac:dyDescent="0.25">
      <c r="A9" t="s">
        <v>233</v>
      </c>
      <c r="C9" t="s">
        <v>233</v>
      </c>
      <c r="D9" t="s">
        <v>226</v>
      </c>
      <c r="E9" t="s">
        <v>195</v>
      </c>
      <c r="G9" t="s">
        <v>173</v>
      </c>
      <c r="H9" t="s">
        <v>196</v>
      </c>
      <c r="I9" t="s">
        <v>460</v>
      </c>
      <c r="J9" t="s">
        <v>233</v>
      </c>
      <c r="K9" t="s">
        <v>233</v>
      </c>
      <c r="L9" s="9" t="s">
        <v>465</v>
      </c>
      <c r="O9" t="s">
        <v>176</v>
      </c>
      <c r="P9" s="7">
        <v>45161</v>
      </c>
      <c r="Q9" t="s">
        <v>234</v>
      </c>
      <c r="R9" t="s">
        <v>189</v>
      </c>
      <c r="S9" t="s">
        <v>209</v>
      </c>
      <c r="T9" t="s">
        <v>210</v>
      </c>
      <c r="U9" t="s">
        <v>228</v>
      </c>
      <c r="V9" t="s">
        <v>190</v>
      </c>
      <c r="W9" t="s">
        <v>461</v>
      </c>
      <c r="Z9" t="s">
        <v>229</v>
      </c>
      <c r="AA9" t="s">
        <v>235</v>
      </c>
      <c r="AB9" t="s">
        <v>235</v>
      </c>
      <c r="AD9" t="s">
        <v>196</v>
      </c>
      <c r="AE9" t="s">
        <v>196</v>
      </c>
      <c r="AF9" t="s">
        <v>236</v>
      </c>
      <c r="AN9">
        <v>-99</v>
      </c>
      <c r="AU9" s="2">
        <f>IF(ISNUMBER(FIND("Call Out",D9)),SUM(AG9:AH9)+SUM(AJ9:AM9)+SUM(AO9:AT9),IF(ISNUMBER(FIND("Renta Solicitada",D9)),IF(AND(AV9&lt;&gt;"",AV9&gt;0),IF(AND(AW9&lt;&gt;"",AW9&gt;0),AW9*(AV9/(SUMPRODUCT(--(L2:L52=L9),AV2:AV52))),""),""),""))</f>
        <v>0</v>
      </c>
      <c r="AV9" s="2" t="str">
        <f t="shared" si="0"/>
        <v/>
      </c>
      <c r="AY9" s="2">
        <f t="shared" si="1"/>
        <v>0</v>
      </c>
      <c r="BI9" t="s">
        <v>237</v>
      </c>
      <c r="BR9" t="s">
        <v>462</v>
      </c>
    </row>
    <row r="10" spans="1:178" x14ac:dyDescent="0.25">
      <c r="A10" t="s">
        <v>238</v>
      </c>
      <c r="C10" t="s">
        <v>238</v>
      </c>
      <c r="D10" t="s">
        <v>171</v>
      </c>
      <c r="E10" t="s">
        <v>195</v>
      </c>
      <c r="G10" t="s">
        <v>173</v>
      </c>
      <c r="H10" t="s">
        <v>196</v>
      </c>
      <c r="I10" t="s">
        <v>460</v>
      </c>
      <c r="J10" t="s">
        <v>238</v>
      </c>
      <c r="K10" t="s">
        <v>238</v>
      </c>
      <c r="L10" s="9" t="s">
        <v>465</v>
      </c>
      <c r="O10" t="s">
        <v>176</v>
      </c>
      <c r="P10" s="7">
        <v>45161</v>
      </c>
      <c r="Q10" t="s">
        <v>234</v>
      </c>
      <c r="R10" t="s">
        <v>189</v>
      </c>
      <c r="S10" t="s">
        <v>209</v>
      </c>
      <c r="T10" t="s">
        <v>210</v>
      </c>
      <c r="V10" t="s">
        <v>190</v>
      </c>
      <c r="W10" t="s">
        <v>461</v>
      </c>
      <c r="Z10" t="s">
        <v>229</v>
      </c>
      <c r="AA10" t="s">
        <v>239</v>
      </c>
      <c r="AB10" t="s">
        <v>240</v>
      </c>
      <c r="AD10" t="s">
        <v>196</v>
      </c>
      <c r="AE10" t="s">
        <v>196</v>
      </c>
      <c r="AF10" s="11">
        <v>45024.204861111109</v>
      </c>
      <c r="AN10">
        <v>102</v>
      </c>
      <c r="AU10" s="2" t="str">
        <f>IF(ISNUMBER(FIND("Call Out",D10)),SUM(AG10:AH10)+SUM(AJ10:AM10)+SUM(AO10:AT10),IF(ISNUMBER(FIND("Renta Solicitada",D10)),IF(AND(AV10&lt;&gt;"",AV10&gt;0),IF(AND(AW10&lt;&gt;"",AW10&gt;0),AW10*(AV10/(SUMPRODUCT(--(L2:L52=L10),AV2:AV52))),""),""),""))</f>
        <v/>
      </c>
      <c r="AV10" s="2" t="str">
        <f t="shared" si="0"/>
        <v/>
      </c>
      <c r="AY10" s="2">
        <f t="shared" si="1"/>
        <v>0</v>
      </c>
      <c r="BI10" t="s">
        <v>241</v>
      </c>
      <c r="BR10" t="s">
        <v>462</v>
      </c>
    </row>
    <row r="11" spans="1:178" x14ac:dyDescent="0.25">
      <c r="A11" t="s">
        <v>242</v>
      </c>
      <c r="C11" t="s">
        <v>242</v>
      </c>
      <c r="D11" t="s">
        <v>226</v>
      </c>
      <c r="E11" t="s">
        <v>195</v>
      </c>
      <c r="G11" t="s">
        <v>173</v>
      </c>
      <c r="H11" t="s">
        <v>196</v>
      </c>
      <c r="I11" t="s">
        <v>460</v>
      </c>
      <c r="J11" t="s">
        <v>242</v>
      </c>
      <c r="K11" t="s">
        <v>242</v>
      </c>
      <c r="L11" s="9" t="s">
        <v>465</v>
      </c>
      <c r="O11" t="s">
        <v>176</v>
      </c>
      <c r="P11" s="7">
        <v>45161</v>
      </c>
      <c r="Q11" t="s">
        <v>234</v>
      </c>
      <c r="R11" t="s">
        <v>189</v>
      </c>
      <c r="S11" t="s">
        <v>209</v>
      </c>
      <c r="T11" t="s">
        <v>210</v>
      </c>
      <c r="U11" t="s">
        <v>243</v>
      </c>
      <c r="V11" t="s">
        <v>190</v>
      </c>
      <c r="W11" t="s">
        <v>461</v>
      </c>
      <c r="Z11" t="s">
        <v>229</v>
      </c>
      <c r="AA11" t="s">
        <v>244</v>
      </c>
      <c r="AB11" t="s">
        <v>244</v>
      </c>
      <c r="AD11" t="s">
        <v>196</v>
      </c>
      <c r="AE11" t="s">
        <v>196</v>
      </c>
      <c r="AF11" t="s">
        <v>245</v>
      </c>
      <c r="AN11">
        <v>-99</v>
      </c>
      <c r="AU11" s="2">
        <f>IF(ISNUMBER(FIND("Call Out",D11)),SUM(AG11:AH11)+SUM(AJ11:AM11)+SUM(AO11:AT11),IF(ISNUMBER(FIND("Renta Solicitada",D11)),IF(AND(AV11&lt;&gt;"",AV11&gt;0),IF(AND(AW11&lt;&gt;"",AW11&gt;0),AW11*(AV11/(SUMPRODUCT(--(L2:L52=L11),AV2:AV52))),""),""),""))</f>
        <v>0</v>
      </c>
      <c r="AV11" s="2" t="str">
        <f t="shared" si="0"/>
        <v/>
      </c>
      <c r="AY11" s="2">
        <f t="shared" si="1"/>
        <v>0</v>
      </c>
      <c r="BI11" t="s">
        <v>241</v>
      </c>
      <c r="BR11" t="s">
        <v>462</v>
      </c>
    </row>
    <row r="12" spans="1:178" x14ac:dyDescent="0.25">
      <c r="A12" t="s">
        <v>246</v>
      </c>
      <c r="C12" t="s">
        <v>246</v>
      </c>
      <c r="D12" t="s">
        <v>218</v>
      </c>
      <c r="E12" t="s">
        <v>195</v>
      </c>
      <c r="G12" t="s">
        <v>173</v>
      </c>
      <c r="H12" t="s">
        <v>196</v>
      </c>
      <c r="I12" t="s">
        <v>460</v>
      </c>
      <c r="J12" t="s">
        <v>246</v>
      </c>
      <c r="K12" t="s">
        <v>246</v>
      </c>
      <c r="L12" s="9" t="s">
        <v>465</v>
      </c>
      <c r="O12" t="s">
        <v>176</v>
      </c>
      <c r="P12" s="7">
        <v>45161</v>
      </c>
      <c r="Q12" t="s">
        <v>234</v>
      </c>
      <c r="R12" t="s">
        <v>189</v>
      </c>
      <c r="S12" t="s">
        <v>209</v>
      </c>
      <c r="T12" t="s">
        <v>210</v>
      </c>
      <c r="U12" t="s">
        <v>247</v>
      </c>
      <c r="V12" t="s">
        <v>190</v>
      </c>
      <c r="W12" t="s">
        <v>461</v>
      </c>
      <c r="Z12" t="s">
        <v>229</v>
      </c>
      <c r="AA12" t="s">
        <v>248</v>
      </c>
      <c r="AB12" t="s">
        <v>248</v>
      </c>
      <c r="AD12" t="s">
        <v>196</v>
      </c>
      <c r="AE12" t="s">
        <v>196</v>
      </c>
      <c r="AF12" t="s">
        <v>249</v>
      </c>
      <c r="AN12">
        <v>-99</v>
      </c>
      <c r="AU12" s="2" t="str">
        <f>IF(ISNUMBER(FIND("Call Out",D12)),SUM(AG12:AH12)+SUM(AJ12:AM12)+SUM(AO12:AT12),IF(ISNUMBER(FIND("Renta Solicitada",D12)),IF(AND(AV12&lt;&gt;"",AV12&gt;0),IF(AND(AW12&lt;&gt;"",AW12&gt;0),AW12*(AV12/(SUMPRODUCT(--(L2:L52=L12),AV2:AV52))),""),""),""))</f>
        <v/>
      </c>
      <c r="AV12" s="2">
        <f t="shared" si="0"/>
        <v>0</v>
      </c>
      <c r="AY12" s="2">
        <f t="shared" si="1"/>
        <v>0</v>
      </c>
      <c r="BI12" t="s">
        <v>241</v>
      </c>
      <c r="BR12" t="s">
        <v>462</v>
      </c>
    </row>
    <row r="13" spans="1:178" x14ac:dyDescent="0.25">
      <c r="A13" t="s">
        <v>250</v>
      </c>
      <c r="C13" t="s">
        <v>250</v>
      </c>
      <c r="D13" t="s">
        <v>251</v>
      </c>
      <c r="E13" t="s">
        <v>195</v>
      </c>
      <c r="G13" t="s">
        <v>173</v>
      </c>
      <c r="H13" t="s">
        <v>196</v>
      </c>
      <c r="I13" t="s">
        <v>460</v>
      </c>
      <c r="J13" t="s">
        <v>250</v>
      </c>
      <c r="K13" t="s">
        <v>250</v>
      </c>
      <c r="L13" s="9" t="s">
        <v>465</v>
      </c>
      <c r="M13" t="s">
        <v>252</v>
      </c>
      <c r="N13" t="s">
        <v>252</v>
      </c>
      <c r="O13" t="s">
        <v>176</v>
      </c>
      <c r="P13" s="7">
        <v>45161</v>
      </c>
      <c r="Q13" t="s">
        <v>227</v>
      </c>
      <c r="R13" t="s">
        <v>189</v>
      </c>
      <c r="S13" t="s">
        <v>209</v>
      </c>
      <c r="T13" t="s">
        <v>210</v>
      </c>
      <c r="U13" t="s">
        <v>220</v>
      </c>
      <c r="V13" t="s">
        <v>190</v>
      </c>
      <c r="W13" t="s">
        <v>461</v>
      </c>
      <c r="Y13">
        <v>1900022426</v>
      </c>
      <c r="Z13" t="s">
        <v>229</v>
      </c>
      <c r="AA13" t="s">
        <v>248</v>
      </c>
      <c r="AB13" t="s">
        <v>248</v>
      </c>
      <c r="AD13" t="s">
        <v>196</v>
      </c>
      <c r="AE13" t="s">
        <v>196</v>
      </c>
      <c r="AF13" t="s">
        <v>253</v>
      </c>
      <c r="AN13">
        <v>-99</v>
      </c>
      <c r="AU13" s="2" t="str">
        <f>IF(ISNUMBER(FIND("Call Out",D13)),SUM(AG13:AH13)+SUM(AJ13:AM13)+SUM(AO13:AT13),IF(ISNUMBER(FIND("Renta Solicitada",D13)),IF(AND(AV13&lt;&gt;"",AV13&gt;0),IF(AND(AW13&lt;&gt;"",AW13&gt;0),AW13*(AV13/(SUMPRODUCT(--(L2:L52=L13),AV2:AV52))),""),""),""))</f>
        <v/>
      </c>
      <c r="AV13" s="2" t="str">
        <f t="shared" si="0"/>
        <v/>
      </c>
      <c r="AY13" s="2">
        <f t="shared" si="1"/>
        <v>0</v>
      </c>
      <c r="BI13" t="s">
        <v>232</v>
      </c>
      <c r="BR13" t="s">
        <v>462</v>
      </c>
    </row>
    <row r="14" spans="1:178" x14ac:dyDescent="0.25">
      <c r="A14" t="s">
        <v>254</v>
      </c>
      <c r="C14" t="s">
        <v>254</v>
      </c>
      <c r="D14" t="s">
        <v>226</v>
      </c>
      <c r="E14" t="s">
        <v>195</v>
      </c>
      <c r="G14" t="s">
        <v>173</v>
      </c>
      <c r="H14" t="s">
        <v>196</v>
      </c>
      <c r="I14" t="s">
        <v>460</v>
      </c>
      <c r="J14" t="s">
        <v>254</v>
      </c>
      <c r="K14" t="s">
        <v>254</v>
      </c>
      <c r="L14" s="9" t="s">
        <v>465</v>
      </c>
      <c r="O14" t="s">
        <v>176</v>
      </c>
      <c r="P14" s="7">
        <v>45161</v>
      </c>
      <c r="Q14" t="s">
        <v>234</v>
      </c>
      <c r="R14" t="s">
        <v>189</v>
      </c>
      <c r="S14" t="s">
        <v>209</v>
      </c>
      <c r="T14" t="s">
        <v>210</v>
      </c>
      <c r="U14" t="s">
        <v>255</v>
      </c>
      <c r="V14" t="s">
        <v>190</v>
      </c>
      <c r="W14" t="s">
        <v>461</v>
      </c>
      <c r="Z14" t="s">
        <v>229</v>
      </c>
      <c r="AA14" t="s">
        <v>256</v>
      </c>
      <c r="AB14" t="s">
        <v>256</v>
      </c>
      <c r="AD14" t="s">
        <v>196</v>
      </c>
      <c r="AE14" t="s">
        <v>196</v>
      </c>
      <c r="AF14" t="s">
        <v>257</v>
      </c>
      <c r="AN14">
        <v>7</v>
      </c>
      <c r="AU14" s="2">
        <f>IF(ISNUMBER(FIND("Call Out",D14)),SUM(AG14:AH14)+SUM(AJ14:AM14)+SUM(AO14:AT14),IF(ISNUMBER(FIND("Renta Solicitada",D14)),IF(AND(AV14&lt;&gt;"",AV14&gt;0),IF(AND(AW14&lt;&gt;"",AW14&gt;0),AW14*(AV14/(SUMPRODUCT(--(L2:L52=L14),AV2:AV52))),""),""),""))</f>
        <v>0</v>
      </c>
      <c r="AV14" s="2" t="str">
        <f t="shared" si="0"/>
        <v/>
      </c>
      <c r="AY14" s="2">
        <f t="shared" si="1"/>
        <v>0</v>
      </c>
      <c r="BI14" t="s">
        <v>241</v>
      </c>
      <c r="BR14" t="s">
        <v>462</v>
      </c>
    </row>
    <row r="15" spans="1:178" x14ac:dyDescent="0.25">
      <c r="A15" t="s">
        <v>258</v>
      </c>
      <c r="C15" t="s">
        <v>258</v>
      </c>
      <c r="D15" t="s">
        <v>171</v>
      </c>
      <c r="E15" t="s">
        <v>172</v>
      </c>
      <c r="G15" t="s">
        <v>173</v>
      </c>
      <c r="H15" t="s">
        <v>259</v>
      </c>
      <c r="I15" t="s">
        <v>460</v>
      </c>
      <c r="J15" t="s">
        <v>258</v>
      </c>
      <c r="K15" t="s">
        <v>258</v>
      </c>
      <c r="L15" s="9" t="s">
        <v>465</v>
      </c>
      <c r="O15" t="s">
        <v>176</v>
      </c>
      <c r="P15" s="7">
        <v>45161</v>
      </c>
      <c r="Q15" t="s">
        <v>261</v>
      </c>
      <c r="R15" t="s">
        <v>262</v>
      </c>
      <c r="S15" t="s">
        <v>209</v>
      </c>
      <c r="T15" t="s">
        <v>210</v>
      </c>
      <c r="V15" t="s">
        <v>190</v>
      </c>
      <c r="W15" t="s">
        <v>461</v>
      </c>
      <c r="Z15" t="s">
        <v>260</v>
      </c>
      <c r="AA15" t="s">
        <v>223</v>
      </c>
      <c r="AB15" t="s">
        <v>263</v>
      </c>
      <c r="AD15" t="s">
        <v>259</v>
      </c>
      <c r="AE15" t="s">
        <v>259</v>
      </c>
      <c r="AF15" t="s">
        <v>264</v>
      </c>
      <c r="AN15">
        <v>14</v>
      </c>
      <c r="AU15" s="2" t="str">
        <f>IF(ISNUMBER(FIND("Call Out",D15)),SUM(AG15:AH15)+SUM(AJ15:AM15)+SUM(AO15:AT15),IF(ISNUMBER(FIND("Renta Solicitada",D15)),IF(AND(AV15&lt;&gt;"",AV15&gt;0),IF(AND(AW15&lt;&gt;"",AW15&gt;0),AW15*(AV15/(SUMPRODUCT(--(L2:L52=L15),AV2:AV52))),""),""),""))</f>
        <v/>
      </c>
      <c r="AV15" s="2" t="str">
        <f t="shared" si="0"/>
        <v/>
      </c>
      <c r="AY15" s="2">
        <f t="shared" si="1"/>
        <v>0</v>
      </c>
      <c r="BI15" t="s">
        <v>265</v>
      </c>
      <c r="BR15" t="s">
        <v>462</v>
      </c>
    </row>
    <row r="16" spans="1:178" x14ac:dyDescent="0.25">
      <c r="A16" t="s">
        <v>266</v>
      </c>
      <c r="C16" t="s">
        <v>266</v>
      </c>
      <c r="D16" t="s">
        <v>251</v>
      </c>
      <c r="E16" t="s">
        <v>195</v>
      </c>
      <c r="G16" t="s">
        <v>173</v>
      </c>
      <c r="H16" t="s">
        <v>267</v>
      </c>
      <c r="I16" t="s">
        <v>460</v>
      </c>
      <c r="J16" t="s">
        <v>266</v>
      </c>
      <c r="K16" t="s">
        <v>266</v>
      </c>
      <c r="L16" s="9" t="s">
        <v>465</v>
      </c>
      <c r="M16" t="s">
        <v>268</v>
      </c>
      <c r="N16" t="s">
        <v>268</v>
      </c>
      <c r="O16" t="s">
        <v>176</v>
      </c>
      <c r="P16" s="7">
        <v>45161</v>
      </c>
      <c r="Q16" t="s">
        <v>269</v>
      </c>
      <c r="R16" t="s">
        <v>269</v>
      </c>
      <c r="S16" t="s">
        <v>209</v>
      </c>
      <c r="T16" t="s">
        <v>210</v>
      </c>
      <c r="U16" t="s">
        <v>270</v>
      </c>
      <c r="V16" t="s">
        <v>190</v>
      </c>
      <c r="W16" t="s">
        <v>461</v>
      </c>
      <c r="Y16">
        <v>1900074952</v>
      </c>
      <c r="Z16" t="s">
        <v>271</v>
      </c>
      <c r="AA16" t="s">
        <v>272</v>
      </c>
      <c r="AB16" t="s">
        <v>273</v>
      </c>
      <c r="AD16" t="s">
        <v>267</v>
      </c>
      <c r="AE16" t="s">
        <v>267</v>
      </c>
      <c r="AF16" t="s">
        <v>274</v>
      </c>
      <c r="AN16">
        <v>2</v>
      </c>
      <c r="AU16" s="2" t="str">
        <f>IF(ISNUMBER(FIND("Call Out",D16)),SUM(AG16:AH16)+SUM(AJ16:AM16)+SUM(AO16:AT16),IF(ISNUMBER(FIND("Renta Solicitada",D16)),IF(AND(AV16&lt;&gt;"",AV16&gt;0),IF(AND(AW16&lt;&gt;"",AW16&gt;0),AW16*(AV16/(SUMPRODUCT(--(L2:L52=L16),AV2:AV52))),""),""),""))</f>
        <v/>
      </c>
      <c r="AV16" s="2" t="str">
        <f t="shared" si="0"/>
        <v/>
      </c>
      <c r="AY16" s="2">
        <f t="shared" si="1"/>
        <v>0</v>
      </c>
      <c r="BI16" t="s">
        <v>275</v>
      </c>
      <c r="BR16" t="s">
        <v>462</v>
      </c>
    </row>
    <row r="17" spans="1:70" x14ac:dyDescent="0.25">
      <c r="A17" t="s">
        <v>276</v>
      </c>
      <c r="C17" t="s">
        <v>276</v>
      </c>
      <c r="D17" t="s">
        <v>277</v>
      </c>
      <c r="E17" t="s">
        <v>195</v>
      </c>
      <c r="G17" t="s">
        <v>173</v>
      </c>
      <c r="H17" t="s">
        <v>278</v>
      </c>
      <c r="I17" t="s">
        <v>460</v>
      </c>
      <c r="J17" t="s">
        <v>276</v>
      </c>
      <c r="K17" t="s">
        <v>276</v>
      </c>
      <c r="L17" s="9" t="s">
        <v>465</v>
      </c>
      <c r="M17" t="s">
        <v>209</v>
      </c>
      <c r="N17" t="s">
        <v>279</v>
      </c>
      <c r="O17" t="s">
        <v>176</v>
      </c>
      <c r="P17" s="7">
        <v>45161</v>
      </c>
      <c r="Q17" t="s">
        <v>280</v>
      </c>
      <c r="R17" t="s">
        <v>189</v>
      </c>
      <c r="S17" t="s">
        <v>209</v>
      </c>
      <c r="T17" t="s">
        <v>210</v>
      </c>
      <c r="U17" t="s">
        <v>281</v>
      </c>
      <c r="V17" t="s">
        <v>190</v>
      </c>
      <c r="W17" t="s">
        <v>461</v>
      </c>
      <c r="Y17">
        <v>1900092923</v>
      </c>
      <c r="Z17" t="s">
        <v>187</v>
      </c>
      <c r="AA17" t="s">
        <v>282</v>
      </c>
      <c r="AB17" t="s">
        <v>283</v>
      </c>
      <c r="AD17" t="s">
        <v>278</v>
      </c>
      <c r="AE17" t="s">
        <v>278</v>
      </c>
      <c r="AF17" t="s">
        <v>208</v>
      </c>
      <c r="AI17">
        <v>1103717</v>
      </c>
      <c r="AJ17">
        <v>0</v>
      </c>
      <c r="AN17">
        <v>1</v>
      </c>
      <c r="AU17" s="2">
        <f>IF(ISNUMBER(FIND("Call Out",D17)),SUM(AG17:AH17)+SUM(AJ17:AM17)+SUM(AO17:AT17),IF(ISNUMBER(FIND("Renta Solicitada",D17)),IF(AND(AV17&lt;&gt;"",AV17&gt;0),IF(AND(AW17&lt;&gt;"",AW17&gt;0),AW17*(AV17/(SUMPRODUCT(--(L2:L52=L17),AV2:AV52))),""),""),""))</f>
        <v>0</v>
      </c>
      <c r="AV17" s="2" t="str">
        <f t="shared" si="0"/>
        <v/>
      </c>
      <c r="AY17" s="2">
        <f t="shared" si="1"/>
        <v>0</v>
      </c>
      <c r="BI17" t="s">
        <v>284</v>
      </c>
      <c r="BR17" t="s">
        <v>462</v>
      </c>
    </row>
    <row r="18" spans="1:70" x14ac:dyDescent="0.25">
      <c r="A18" t="s">
        <v>285</v>
      </c>
      <c r="C18" t="s">
        <v>285</v>
      </c>
      <c r="D18" t="s">
        <v>251</v>
      </c>
      <c r="E18" t="s">
        <v>195</v>
      </c>
      <c r="G18" t="s">
        <v>173</v>
      </c>
      <c r="H18" t="s">
        <v>286</v>
      </c>
      <c r="I18" t="s">
        <v>460</v>
      </c>
      <c r="J18" t="s">
        <v>285</v>
      </c>
      <c r="K18" t="s">
        <v>285</v>
      </c>
      <c r="L18" s="9" t="s">
        <v>465</v>
      </c>
      <c r="M18" t="s">
        <v>287</v>
      </c>
      <c r="N18" t="s">
        <v>287</v>
      </c>
      <c r="O18" t="s">
        <v>176</v>
      </c>
      <c r="P18" s="7">
        <v>45161</v>
      </c>
      <c r="Q18" t="s">
        <v>288</v>
      </c>
      <c r="R18" t="s">
        <v>289</v>
      </c>
      <c r="S18" t="s">
        <v>209</v>
      </c>
      <c r="T18" t="s">
        <v>210</v>
      </c>
      <c r="U18" t="s">
        <v>270</v>
      </c>
      <c r="V18" t="s">
        <v>190</v>
      </c>
      <c r="W18" t="s">
        <v>461</v>
      </c>
      <c r="Y18">
        <v>1900077787</v>
      </c>
      <c r="Z18" t="s">
        <v>290</v>
      </c>
      <c r="AA18" t="s">
        <v>291</v>
      </c>
      <c r="AB18" t="s">
        <v>292</v>
      </c>
      <c r="AD18" t="s">
        <v>286</v>
      </c>
      <c r="AE18" t="s">
        <v>286</v>
      </c>
      <c r="AF18" t="s">
        <v>293</v>
      </c>
      <c r="AN18">
        <v>3</v>
      </c>
      <c r="AU18" s="2" t="str">
        <f>IF(ISNUMBER(FIND("Call Out",D18)),SUM(AG18:AH18)+SUM(AJ18:AM18)+SUM(AO18:AT18),IF(ISNUMBER(FIND("Renta Solicitada",D18)),IF(AND(AV18&lt;&gt;"",AV18&gt;0),IF(AND(AW18&lt;&gt;"",AW18&gt;0),AW18*(AV18/(SUMPRODUCT(--(L2:L52=L18),AV2:AV52))),""),""),""))</f>
        <v/>
      </c>
      <c r="AV18" s="2" t="str">
        <f t="shared" si="0"/>
        <v/>
      </c>
      <c r="AY18" s="2">
        <f t="shared" si="1"/>
        <v>0</v>
      </c>
      <c r="BI18" t="s">
        <v>294</v>
      </c>
      <c r="BR18" t="s">
        <v>462</v>
      </c>
    </row>
    <row r="19" spans="1:70" x14ac:dyDescent="0.25">
      <c r="A19" t="s">
        <v>295</v>
      </c>
      <c r="C19" t="s">
        <v>295</v>
      </c>
      <c r="D19" t="s">
        <v>251</v>
      </c>
      <c r="E19" t="s">
        <v>195</v>
      </c>
      <c r="G19" t="s">
        <v>173</v>
      </c>
      <c r="H19" t="s">
        <v>278</v>
      </c>
      <c r="I19" t="s">
        <v>460</v>
      </c>
      <c r="J19" t="s">
        <v>295</v>
      </c>
      <c r="K19" t="s">
        <v>295</v>
      </c>
      <c r="L19" s="9" t="s">
        <v>465</v>
      </c>
      <c r="M19" t="s">
        <v>296</v>
      </c>
      <c r="N19" t="s">
        <v>296</v>
      </c>
      <c r="O19" t="s">
        <v>176</v>
      </c>
      <c r="P19" s="7">
        <v>45161</v>
      </c>
      <c r="Q19" t="s">
        <v>297</v>
      </c>
      <c r="R19" t="s">
        <v>262</v>
      </c>
      <c r="S19" t="s">
        <v>209</v>
      </c>
      <c r="T19" t="s">
        <v>210</v>
      </c>
      <c r="U19" t="s">
        <v>270</v>
      </c>
      <c r="V19" t="s">
        <v>190</v>
      </c>
      <c r="W19" t="s">
        <v>461</v>
      </c>
      <c r="Y19">
        <v>1900099496</v>
      </c>
      <c r="Z19" t="s">
        <v>298</v>
      </c>
      <c r="AA19" t="s">
        <v>299</v>
      </c>
      <c r="AB19" t="s">
        <v>299</v>
      </c>
      <c r="AD19" t="s">
        <v>278</v>
      </c>
      <c r="AE19" t="s">
        <v>278</v>
      </c>
      <c r="AF19" t="s">
        <v>300</v>
      </c>
      <c r="AN19">
        <v>1</v>
      </c>
      <c r="AU19" s="2" t="str">
        <f>IF(ISNUMBER(FIND("Call Out",D19)),SUM(AG19:AH19)+SUM(AJ19:AM19)+SUM(AO19:AT19),IF(ISNUMBER(FIND("Renta Solicitada",D19)),IF(AND(AV19&lt;&gt;"",AV19&gt;0),IF(AND(AW19&lt;&gt;"",AW19&gt;0),AW19*(AV19/(SUMPRODUCT(--(L2:L52=L19),AV2:AV52))),""),""),""))</f>
        <v/>
      </c>
      <c r="AV19" s="2" t="str">
        <f t="shared" si="0"/>
        <v/>
      </c>
      <c r="AY19" s="2">
        <f t="shared" si="1"/>
        <v>0</v>
      </c>
      <c r="BI19" t="s">
        <v>301</v>
      </c>
      <c r="BR19" t="s">
        <v>462</v>
      </c>
    </row>
    <row r="20" spans="1:70" x14ac:dyDescent="0.25">
      <c r="A20" t="s">
        <v>302</v>
      </c>
      <c r="C20" t="s">
        <v>302</v>
      </c>
      <c r="D20" t="s">
        <v>251</v>
      </c>
      <c r="E20" t="s">
        <v>195</v>
      </c>
      <c r="G20" t="s">
        <v>173</v>
      </c>
      <c r="H20" t="s">
        <v>196</v>
      </c>
      <c r="I20" t="s">
        <v>460</v>
      </c>
      <c r="J20" t="s">
        <v>302</v>
      </c>
      <c r="K20" t="s">
        <v>302</v>
      </c>
      <c r="L20" s="9" t="s">
        <v>465</v>
      </c>
      <c r="M20" t="s">
        <v>303</v>
      </c>
      <c r="N20" t="s">
        <v>303</v>
      </c>
      <c r="O20" t="s">
        <v>176</v>
      </c>
      <c r="P20" s="7">
        <v>45161</v>
      </c>
      <c r="Q20" t="s">
        <v>261</v>
      </c>
      <c r="R20" t="s">
        <v>262</v>
      </c>
      <c r="S20" t="s">
        <v>209</v>
      </c>
      <c r="T20" t="s">
        <v>210</v>
      </c>
      <c r="U20" t="s">
        <v>270</v>
      </c>
      <c r="V20" t="s">
        <v>190</v>
      </c>
      <c r="W20" t="s">
        <v>461</v>
      </c>
      <c r="Y20">
        <v>1900099496</v>
      </c>
      <c r="Z20" t="s">
        <v>304</v>
      </c>
      <c r="AA20" t="s">
        <v>305</v>
      </c>
      <c r="AB20" t="s">
        <v>306</v>
      </c>
      <c r="AD20" t="s">
        <v>196</v>
      </c>
      <c r="AE20" t="s">
        <v>196</v>
      </c>
      <c r="AF20" t="s">
        <v>205</v>
      </c>
      <c r="AN20">
        <v>1</v>
      </c>
      <c r="AU20" s="2" t="str">
        <f>IF(ISNUMBER(FIND("Call Out",D20)),SUM(AG20:AH20)+SUM(AJ20:AM20)+SUM(AO20:AT20),IF(ISNUMBER(FIND("Renta Solicitada",D20)),IF(AND(AV20&lt;&gt;"",AV20&gt;0),IF(AND(AW20&lt;&gt;"",AW20&gt;0),AW20*(AV20/(SUMPRODUCT(--(L2:L52=L20),AV2:AV52))),""),""),""))</f>
        <v/>
      </c>
      <c r="AV20" s="2" t="str">
        <f t="shared" si="0"/>
        <v/>
      </c>
      <c r="AY20" s="2">
        <f t="shared" si="1"/>
        <v>0</v>
      </c>
      <c r="BI20" t="s">
        <v>307</v>
      </c>
      <c r="BR20" t="s">
        <v>462</v>
      </c>
    </row>
    <row r="21" spans="1:70" x14ac:dyDescent="0.25">
      <c r="A21" t="s">
        <v>308</v>
      </c>
      <c r="C21" t="s">
        <v>308</v>
      </c>
      <c r="D21" t="s">
        <v>277</v>
      </c>
      <c r="E21" t="s">
        <v>195</v>
      </c>
      <c r="G21" t="s">
        <v>173</v>
      </c>
      <c r="H21" t="s">
        <v>278</v>
      </c>
      <c r="I21" t="s">
        <v>460</v>
      </c>
      <c r="J21" t="s">
        <v>308</v>
      </c>
      <c r="K21" t="s">
        <v>308</v>
      </c>
      <c r="L21" s="9" t="s">
        <v>465</v>
      </c>
      <c r="M21" t="s">
        <v>209</v>
      </c>
      <c r="N21" t="s">
        <v>309</v>
      </c>
      <c r="O21" t="s">
        <v>176</v>
      </c>
      <c r="P21" s="7">
        <v>45161</v>
      </c>
      <c r="Q21" t="s">
        <v>288</v>
      </c>
      <c r="R21" t="s">
        <v>289</v>
      </c>
      <c r="S21" t="s">
        <v>209</v>
      </c>
      <c r="T21" t="s">
        <v>210</v>
      </c>
      <c r="U21" t="s">
        <v>310</v>
      </c>
      <c r="V21" t="s">
        <v>190</v>
      </c>
      <c r="W21" t="s">
        <v>461</v>
      </c>
      <c r="Y21">
        <v>1900099825</v>
      </c>
      <c r="Z21" t="s">
        <v>290</v>
      </c>
      <c r="AA21" t="s">
        <v>311</v>
      </c>
      <c r="AB21" t="s">
        <v>312</v>
      </c>
      <c r="AD21" t="s">
        <v>278</v>
      </c>
      <c r="AE21" t="s">
        <v>278</v>
      </c>
      <c r="AF21" t="s">
        <v>313</v>
      </c>
      <c r="AI21">
        <v>690000</v>
      </c>
      <c r="AJ21">
        <v>690000</v>
      </c>
      <c r="AN21">
        <v>7</v>
      </c>
      <c r="AU21" s="2">
        <f>IF(ISNUMBER(FIND("Call Out",D21)),SUM(AG21:AH21)+SUM(AJ21:AM21)+SUM(AO21:AT21),IF(ISNUMBER(FIND("Renta Solicitada",D21)),IF(AND(AV21&lt;&gt;"",AV21&gt;0),IF(AND(AW21&lt;&gt;"",AW21&gt;0),AW21*(AV21/(SUMPRODUCT(--(L2:L52=L21),AV2:AV52))),""),""),""))</f>
        <v>690000</v>
      </c>
      <c r="AV21" s="2" t="str">
        <f t="shared" si="0"/>
        <v/>
      </c>
      <c r="AY21" s="2">
        <f t="shared" si="1"/>
        <v>690000</v>
      </c>
      <c r="BI21" t="s">
        <v>294</v>
      </c>
      <c r="BR21" t="s">
        <v>462</v>
      </c>
    </row>
    <row r="22" spans="1:70" x14ac:dyDescent="0.25">
      <c r="A22" t="s">
        <v>314</v>
      </c>
      <c r="C22" t="s">
        <v>314</v>
      </c>
      <c r="D22" t="s">
        <v>226</v>
      </c>
      <c r="E22" t="s">
        <v>195</v>
      </c>
      <c r="G22" t="s">
        <v>173</v>
      </c>
      <c r="H22" t="s">
        <v>278</v>
      </c>
      <c r="I22" t="s">
        <v>460</v>
      </c>
      <c r="J22" t="s">
        <v>314</v>
      </c>
      <c r="K22" t="s">
        <v>314</v>
      </c>
      <c r="L22" s="9" t="s">
        <v>465</v>
      </c>
      <c r="O22" t="s">
        <v>176</v>
      </c>
      <c r="P22" s="7">
        <v>45161</v>
      </c>
      <c r="Q22" t="s">
        <v>288</v>
      </c>
      <c r="R22" t="s">
        <v>289</v>
      </c>
      <c r="S22" t="s">
        <v>209</v>
      </c>
      <c r="T22" t="s">
        <v>210</v>
      </c>
      <c r="U22" t="s">
        <v>243</v>
      </c>
      <c r="V22" t="s">
        <v>190</v>
      </c>
      <c r="W22" t="s">
        <v>461</v>
      </c>
      <c r="Z22" t="s">
        <v>290</v>
      </c>
      <c r="AA22" t="s">
        <v>223</v>
      </c>
      <c r="AB22" t="s">
        <v>315</v>
      </c>
      <c r="AD22" t="s">
        <v>278</v>
      </c>
      <c r="AE22" t="s">
        <v>278</v>
      </c>
      <c r="AF22" t="s">
        <v>313</v>
      </c>
      <c r="AN22">
        <v>7</v>
      </c>
      <c r="AU22" s="2">
        <f>IF(ISNUMBER(FIND("Call Out",D22)),SUM(AG22:AH22)+SUM(AJ22:AM22)+SUM(AO22:AT22),IF(ISNUMBER(FIND("Renta Solicitada",D22)),IF(AND(AV22&lt;&gt;"",AV22&gt;0),IF(AND(AW22&lt;&gt;"",AW22&gt;0),AW22*(AV22/(SUMPRODUCT(--(L2:L52=L22),AV2:AV52))),""),""),""))</f>
        <v>0</v>
      </c>
      <c r="AV22" s="2" t="str">
        <f t="shared" si="0"/>
        <v/>
      </c>
      <c r="AY22" s="2">
        <f t="shared" si="1"/>
        <v>0</v>
      </c>
      <c r="BI22" t="s">
        <v>294</v>
      </c>
      <c r="BR22" t="s">
        <v>462</v>
      </c>
    </row>
    <row r="23" spans="1:70" x14ac:dyDescent="0.25">
      <c r="A23" t="s">
        <v>316</v>
      </c>
      <c r="C23" t="s">
        <v>316</v>
      </c>
      <c r="D23" t="s">
        <v>226</v>
      </c>
      <c r="E23" t="s">
        <v>195</v>
      </c>
      <c r="G23" t="s">
        <v>173</v>
      </c>
      <c r="H23" t="s">
        <v>278</v>
      </c>
      <c r="I23" t="s">
        <v>460</v>
      </c>
      <c r="J23" t="s">
        <v>316</v>
      </c>
      <c r="K23" t="s">
        <v>316</v>
      </c>
      <c r="L23" s="9" t="s">
        <v>465</v>
      </c>
      <c r="O23" t="s">
        <v>176</v>
      </c>
      <c r="P23" s="7">
        <v>45161</v>
      </c>
      <c r="Q23" t="s">
        <v>288</v>
      </c>
      <c r="R23" t="s">
        <v>289</v>
      </c>
      <c r="S23" t="s">
        <v>209</v>
      </c>
      <c r="T23" t="s">
        <v>210</v>
      </c>
      <c r="U23" t="s">
        <v>243</v>
      </c>
      <c r="V23" t="s">
        <v>190</v>
      </c>
      <c r="W23" t="s">
        <v>461</v>
      </c>
      <c r="Z23" t="s">
        <v>290</v>
      </c>
      <c r="AA23" t="s">
        <v>317</v>
      </c>
      <c r="AB23" t="s">
        <v>318</v>
      </c>
      <c r="AD23" t="s">
        <v>278</v>
      </c>
      <c r="AE23" t="s">
        <v>278</v>
      </c>
      <c r="AF23" t="s">
        <v>313</v>
      </c>
      <c r="AN23">
        <v>7</v>
      </c>
      <c r="AU23" s="2">
        <f>IF(ISNUMBER(FIND("Call Out",D23)),SUM(AG23:AH23)+SUM(AJ23:AM23)+SUM(AO23:AT23),IF(ISNUMBER(FIND("Renta Solicitada",D23)),IF(AND(AV23&lt;&gt;"",AV23&gt;0),IF(AND(AW23&lt;&gt;"",AW23&gt;0),AW23*(AV23/(SUMPRODUCT(--(L2:L52=L23),AV2:AV52))),""),""),""))</f>
        <v>0</v>
      </c>
      <c r="AV23" s="2" t="str">
        <f t="shared" si="0"/>
        <v/>
      </c>
      <c r="AY23" s="2">
        <f t="shared" si="1"/>
        <v>0</v>
      </c>
      <c r="BI23" t="s">
        <v>294</v>
      </c>
      <c r="BR23" t="s">
        <v>462</v>
      </c>
    </row>
    <row r="24" spans="1:70" x14ac:dyDescent="0.25">
      <c r="A24" t="s">
        <v>319</v>
      </c>
      <c r="C24" t="s">
        <v>319</v>
      </c>
      <c r="D24" t="s">
        <v>226</v>
      </c>
      <c r="E24" t="s">
        <v>195</v>
      </c>
      <c r="G24" t="s">
        <v>173</v>
      </c>
      <c r="H24" t="s">
        <v>278</v>
      </c>
      <c r="I24" t="s">
        <v>460</v>
      </c>
      <c r="J24" t="s">
        <v>319</v>
      </c>
      <c r="K24" t="s">
        <v>319</v>
      </c>
      <c r="L24" s="9" t="s">
        <v>465</v>
      </c>
      <c r="O24" t="s">
        <v>176</v>
      </c>
      <c r="P24" s="7">
        <v>45161</v>
      </c>
      <c r="Q24" t="s">
        <v>288</v>
      </c>
      <c r="R24" t="s">
        <v>289</v>
      </c>
      <c r="S24" t="s">
        <v>209</v>
      </c>
      <c r="T24" t="s">
        <v>210</v>
      </c>
      <c r="U24" t="s">
        <v>243</v>
      </c>
      <c r="V24" t="s">
        <v>190</v>
      </c>
      <c r="W24" t="s">
        <v>461</v>
      </c>
      <c r="Z24" t="s">
        <v>290</v>
      </c>
      <c r="AA24" t="s">
        <v>320</v>
      </c>
      <c r="AB24" t="s">
        <v>318</v>
      </c>
      <c r="AD24" t="s">
        <v>278</v>
      </c>
      <c r="AE24" t="s">
        <v>278</v>
      </c>
      <c r="AF24" t="s">
        <v>313</v>
      </c>
      <c r="AN24">
        <v>7</v>
      </c>
      <c r="AU24" s="2">
        <f>IF(ISNUMBER(FIND("Call Out",D24)),SUM(AG24:AH24)+SUM(AJ24:AM24)+SUM(AO24:AT24),IF(ISNUMBER(FIND("Renta Solicitada",D24)),IF(AND(AV24&lt;&gt;"",AV24&gt;0),IF(AND(AW24&lt;&gt;"",AW24&gt;0),AW24*(AV24/(SUMPRODUCT(--(L2:L52=L24),AV2:AV52))),""),""),""))</f>
        <v>0</v>
      </c>
      <c r="AV24" s="2" t="str">
        <f t="shared" si="0"/>
        <v/>
      </c>
      <c r="AY24" s="2">
        <f t="shared" si="1"/>
        <v>0</v>
      </c>
      <c r="BI24" t="s">
        <v>294</v>
      </c>
      <c r="BR24" t="s">
        <v>462</v>
      </c>
    </row>
    <row r="25" spans="1:70" x14ac:dyDescent="0.25">
      <c r="A25" t="s">
        <v>321</v>
      </c>
      <c r="C25" t="s">
        <v>321</v>
      </c>
      <c r="D25" t="s">
        <v>277</v>
      </c>
      <c r="E25" t="s">
        <v>172</v>
      </c>
      <c r="G25" t="s">
        <v>173</v>
      </c>
      <c r="H25" t="s">
        <v>322</v>
      </c>
      <c r="I25" t="s">
        <v>460</v>
      </c>
      <c r="J25" t="s">
        <v>321</v>
      </c>
      <c r="K25" t="s">
        <v>321</v>
      </c>
      <c r="L25" s="9" t="s">
        <v>465</v>
      </c>
      <c r="M25" t="s">
        <v>209</v>
      </c>
      <c r="N25" t="s">
        <v>323</v>
      </c>
      <c r="O25" t="s">
        <v>464</v>
      </c>
      <c r="P25" s="7">
        <v>45161</v>
      </c>
      <c r="Q25" t="s">
        <v>227</v>
      </c>
      <c r="R25" t="s">
        <v>189</v>
      </c>
      <c r="S25" t="s">
        <v>209</v>
      </c>
      <c r="T25" t="s">
        <v>210</v>
      </c>
      <c r="U25" t="s">
        <v>324</v>
      </c>
      <c r="V25" t="s">
        <v>190</v>
      </c>
      <c r="W25" t="s">
        <v>461</v>
      </c>
      <c r="Y25">
        <v>1900095887</v>
      </c>
      <c r="Z25" t="s">
        <v>229</v>
      </c>
      <c r="AA25" t="s">
        <v>325</v>
      </c>
      <c r="AB25" t="s">
        <v>325</v>
      </c>
      <c r="AD25" t="s">
        <v>322</v>
      </c>
      <c r="AE25" t="s">
        <v>322</v>
      </c>
      <c r="AF25" t="s">
        <v>192</v>
      </c>
      <c r="AI25">
        <v>563826</v>
      </c>
      <c r="AJ25">
        <v>0</v>
      </c>
      <c r="AN25">
        <v>15</v>
      </c>
      <c r="AU25" s="2">
        <f>IF(ISNUMBER(FIND("Call Out",D25)),SUM(AG25:AH25)+SUM(AJ25:AM25)+SUM(AO25:AT25),IF(ISNUMBER(FIND("Renta Solicitada",D25)),IF(AND(AV25&lt;&gt;"",AV25&gt;0),IF(AND(AW25&lt;&gt;"",AW25&gt;0),AW25*(AV25/(SUMPRODUCT(--(L2:L52=L25),AV2:AV52))),""),""),""))</f>
        <v>0</v>
      </c>
      <c r="AV25" s="2" t="str">
        <f t="shared" si="0"/>
        <v/>
      </c>
      <c r="AY25" s="2">
        <f t="shared" si="1"/>
        <v>0</v>
      </c>
      <c r="BI25" t="s">
        <v>326</v>
      </c>
      <c r="BR25" t="s">
        <v>462</v>
      </c>
    </row>
    <row r="26" spans="1:70" x14ac:dyDescent="0.25">
      <c r="A26" t="s">
        <v>327</v>
      </c>
      <c r="C26" t="s">
        <v>327</v>
      </c>
      <c r="D26" t="s">
        <v>251</v>
      </c>
      <c r="E26" t="s">
        <v>195</v>
      </c>
      <c r="G26" t="s">
        <v>173</v>
      </c>
      <c r="H26" t="s">
        <v>328</v>
      </c>
      <c r="I26" t="s">
        <v>460</v>
      </c>
      <c r="J26" t="s">
        <v>327</v>
      </c>
      <c r="K26" t="s">
        <v>327</v>
      </c>
      <c r="L26" s="9" t="s">
        <v>465</v>
      </c>
      <c r="M26" t="s">
        <v>329</v>
      </c>
      <c r="N26" t="s">
        <v>329</v>
      </c>
      <c r="O26" t="s">
        <v>176</v>
      </c>
      <c r="P26" s="7">
        <v>45161</v>
      </c>
      <c r="Q26" t="s">
        <v>227</v>
      </c>
      <c r="R26" t="s">
        <v>189</v>
      </c>
      <c r="S26" t="s">
        <v>209</v>
      </c>
      <c r="T26" t="s">
        <v>210</v>
      </c>
      <c r="U26" t="s">
        <v>270</v>
      </c>
      <c r="V26" t="s">
        <v>190</v>
      </c>
      <c r="W26" t="s">
        <v>461</v>
      </c>
      <c r="Y26">
        <v>1900068472</v>
      </c>
      <c r="Z26" t="s">
        <v>229</v>
      </c>
      <c r="AA26" t="s">
        <v>291</v>
      </c>
      <c r="AB26" t="s">
        <v>222</v>
      </c>
      <c r="AD26" t="s">
        <v>328</v>
      </c>
      <c r="AE26" t="s">
        <v>328</v>
      </c>
      <c r="AF26" t="s">
        <v>330</v>
      </c>
      <c r="AN26">
        <v>2</v>
      </c>
      <c r="AU26" s="2" t="str">
        <f>IF(ISNUMBER(FIND("Call Out",D26)),SUM(AG26:AH26)+SUM(AJ26:AM26)+SUM(AO26:AT26),IF(ISNUMBER(FIND("Renta Solicitada",D26)),IF(AND(AV26&lt;&gt;"",AV26&gt;0),IF(AND(AW26&lt;&gt;"",AW26&gt;0),AW26*(AV26/(SUMPRODUCT(--(L2:L52=L26),AV2:AV52))),""),""),""))</f>
        <v/>
      </c>
      <c r="AV26" s="2" t="str">
        <f t="shared" si="0"/>
        <v/>
      </c>
      <c r="AY26" s="2">
        <f t="shared" si="1"/>
        <v>0</v>
      </c>
      <c r="BI26" t="s">
        <v>331</v>
      </c>
      <c r="BR26" t="s">
        <v>462</v>
      </c>
    </row>
    <row r="27" spans="1:70" x14ac:dyDescent="0.25">
      <c r="A27" t="s">
        <v>332</v>
      </c>
      <c r="C27" t="s">
        <v>332</v>
      </c>
      <c r="D27" t="s">
        <v>333</v>
      </c>
      <c r="E27" t="s">
        <v>195</v>
      </c>
      <c r="G27" t="s">
        <v>173</v>
      </c>
      <c r="H27" t="s">
        <v>334</v>
      </c>
      <c r="I27" t="s">
        <v>460</v>
      </c>
      <c r="J27" t="s">
        <v>332</v>
      </c>
      <c r="K27" t="s">
        <v>332</v>
      </c>
      <c r="L27" s="9" t="s">
        <v>465</v>
      </c>
      <c r="M27" t="s">
        <v>335</v>
      </c>
      <c r="N27" t="s">
        <v>335</v>
      </c>
      <c r="O27" t="s">
        <v>176</v>
      </c>
      <c r="P27" s="7">
        <v>45161</v>
      </c>
      <c r="Q27" t="s">
        <v>227</v>
      </c>
      <c r="R27" t="s">
        <v>189</v>
      </c>
      <c r="S27" t="s">
        <v>209</v>
      </c>
      <c r="T27" t="s">
        <v>210</v>
      </c>
      <c r="U27" t="s">
        <v>270</v>
      </c>
      <c r="V27" t="s">
        <v>190</v>
      </c>
      <c r="W27" t="s">
        <v>461</v>
      </c>
      <c r="Y27">
        <v>1900025173</v>
      </c>
      <c r="Z27" t="s">
        <v>229</v>
      </c>
      <c r="AA27" t="s">
        <v>325</v>
      </c>
      <c r="AB27" t="s">
        <v>325</v>
      </c>
      <c r="AD27" t="s">
        <v>334</v>
      </c>
      <c r="AE27" t="s">
        <v>334</v>
      </c>
      <c r="AF27" t="s">
        <v>336</v>
      </c>
      <c r="AN27">
        <v>2</v>
      </c>
      <c r="AU27" s="2" t="str">
        <f>IF(ISNUMBER(FIND("Call Out",D27)),SUM(AG27:AH27)+SUM(AJ27:AM27)+SUM(AO27:AT27),IF(ISNUMBER(FIND("Renta Solicitada",D27)),IF(AND(AV27&lt;&gt;"",AV27&gt;0),IF(AND(AW27&lt;&gt;"",AW27&gt;0),AW27*(AV27/(SUMPRODUCT(--(L2:L52=L27),AV2:AV52))),""),""),""))</f>
        <v/>
      </c>
      <c r="AV27" s="2" t="str">
        <f t="shared" si="0"/>
        <v/>
      </c>
      <c r="AY27" s="2">
        <f t="shared" si="1"/>
        <v>0</v>
      </c>
      <c r="BI27" t="s">
        <v>331</v>
      </c>
      <c r="BR27" t="s">
        <v>462</v>
      </c>
    </row>
    <row r="28" spans="1:70" x14ac:dyDescent="0.25">
      <c r="A28" t="s">
        <v>337</v>
      </c>
      <c r="C28" t="s">
        <v>337</v>
      </c>
      <c r="D28" t="s">
        <v>251</v>
      </c>
      <c r="E28" t="s">
        <v>195</v>
      </c>
      <c r="G28" t="s">
        <v>173</v>
      </c>
      <c r="H28" t="s">
        <v>338</v>
      </c>
      <c r="I28" t="s">
        <v>460</v>
      </c>
      <c r="J28" t="s">
        <v>337</v>
      </c>
      <c r="K28" t="s">
        <v>337</v>
      </c>
      <c r="L28" s="9" t="s">
        <v>465</v>
      </c>
      <c r="M28" t="s">
        <v>339</v>
      </c>
      <c r="N28" t="s">
        <v>339</v>
      </c>
      <c r="O28" t="s">
        <v>176</v>
      </c>
      <c r="P28" s="7">
        <v>45161</v>
      </c>
      <c r="Q28" t="s">
        <v>297</v>
      </c>
      <c r="R28" t="s">
        <v>262</v>
      </c>
      <c r="S28" t="s">
        <v>209</v>
      </c>
      <c r="T28" t="s">
        <v>210</v>
      </c>
      <c r="U28" t="s">
        <v>270</v>
      </c>
      <c r="V28" t="s">
        <v>190</v>
      </c>
      <c r="W28" t="s">
        <v>461</v>
      </c>
      <c r="Y28">
        <v>1900092021</v>
      </c>
      <c r="Z28" t="s">
        <v>340</v>
      </c>
      <c r="AA28" t="s">
        <v>341</v>
      </c>
      <c r="AB28" t="s">
        <v>341</v>
      </c>
      <c r="AD28" t="s">
        <v>338</v>
      </c>
      <c r="AE28" t="s">
        <v>338</v>
      </c>
      <c r="AF28" t="s">
        <v>342</v>
      </c>
      <c r="AN28">
        <v>3</v>
      </c>
      <c r="AU28" s="2" t="str">
        <f>IF(ISNUMBER(FIND("Call Out",D28)),SUM(AG28:AH28)+SUM(AJ28:AM28)+SUM(AO28:AT28),IF(ISNUMBER(FIND("Renta Solicitada",D28)),IF(AND(AV28&lt;&gt;"",AV28&gt;0),IF(AND(AW28&lt;&gt;"",AW28&gt;0),AW28*(AV28/(SUMPRODUCT(--(L2:L52=L28),AV2:AV52))),""),""),""))</f>
        <v/>
      </c>
      <c r="AV28" s="2" t="str">
        <f t="shared" si="0"/>
        <v/>
      </c>
      <c r="AY28" s="2">
        <f t="shared" si="1"/>
        <v>0</v>
      </c>
      <c r="BI28" t="s">
        <v>343</v>
      </c>
      <c r="BR28" t="s">
        <v>462</v>
      </c>
    </row>
    <row r="29" spans="1:70" x14ac:dyDescent="0.25">
      <c r="A29" t="s">
        <v>344</v>
      </c>
      <c r="C29" t="s">
        <v>344</v>
      </c>
      <c r="D29" t="s">
        <v>277</v>
      </c>
      <c r="E29" t="s">
        <v>195</v>
      </c>
      <c r="G29" t="s">
        <v>173</v>
      </c>
      <c r="H29" t="s">
        <v>278</v>
      </c>
      <c r="I29" t="s">
        <v>460</v>
      </c>
      <c r="J29" t="s">
        <v>344</v>
      </c>
      <c r="K29" t="s">
        <v>344</v>
      </c>
      <c r="L29" s="9" t="s">
        <v>465</v>
      </c>
      <c r="M29" t="s">
        <v>209</v>
      </c>
      <c r="N29" t="s">
        <v>345</v>
      </c>
      <c r="O29" t="s">
        <v>176</v>
      </c>
      <c r="P29" s="7">
        <v>45161</v>
      </c>
      <c r="Q29" t="s">
        <v>288</v>
      </c>
      <c r="R29" t="s">
        <v>289</v>
      </c>
      <c r="S29" t="s">
        <v>209</v>
      </c>
      <c r="T29" t="s">
        <v>210</v>
      </c>
      <c r="U29" t="s">
        <v>346</v>
      </c>
      <c r="V29" t="s">
        <v>190</v>
      </c>
      <c r="W29" t="s">
        <v>461</v>
      </c>
      <c r="Y29">
        <v>1900059563</v>
      </c>
      <c r="Z29" t="s">
        <v>290</v>
      </c>
      <c r="AA29" t="s">
        <v>347</v>
      </c>
      <c r="AB29" t="s">
        <v>348</v>
      </c>
      <c r="AD29" t="s">
        <v>278</v>
      </c>
      <c r="AE29" t="s">
        <v>278</v>
      </c>
      <c r="AF29" t="s">
        <v>349</v>
      </c>
      <c r="AI29">
        <v>492200</v>
      </c>
      <c r="AJ29">
        <v>492200</v>
      </c>
      <c r="AN29">
        <v>7</v>
      </c>
      <c r="AU29" s="2">
        <f>IF(ISNUMBER(FIND("Call Out",D29)),SUM(AG29:AH29)+SUM(AJ29:AM29)+SUM(AO29:AT29),IF(ISNUMBER(FIND("Renta Solicitada",D29)),IF(AND(AV29&lt;&gt;"",AV29&gt;0),IF(AND(AW29&lt;&gt;"",AW29&gt;0),AW29*(AV29/(SUMPRODUCT(--(L2:L52=L29),AV2:AV52))),""),""),""))</f>
        <v>492200</v>
      </c>
      <c r="AV29" s="2" t="str">
        <f t="shared" si="0"/>
        <v/>
      </c>
      <c r="AY29" s="2">
        <f t="shared" si="1"/>
        <v>492200</v>
      </c>
      <c r="BI29" t="s">
        <v>294</v>
      </c>
      <c r="BR29" t="s">
        <v>462</v>
      </c>
    </row>
    <row r="30" spans="1:70" x14ac:dyDescent="0.25">
      <c r="A30" t="s">
        <v>350</v>
      </c>
      <c r="C30" t="s">
        <v>350</v>
      </c>
      <c r="D30" t="s">
        <v>351</v>
      </c>
      <c r="E30" t="s">
        <v>195</v>
      </c>
      <c r="G30" t="s">
        <v>173</v>
      </c>
      <c r="H30" t="s">
        <v>278</v>
      </c>
      <c r="I30" t="s">
        <v>460</v>
      </c>
      <c r="J30" t="s">
        <v>350</v>
      </c>
      <c r="K30" t="s">
        <v>350</v>
      </c>
      <c r="L30" s="9" t="s">
        <v>465</v>
      </c>
      <c r="O30" t="s">
        <v>176</v>
      </c>
      <c r="P30" s="7">
        <v>45161</v>
      </c>
      <c r="Q30" t="s">
        <v>288</v>
      </c>
      <c r="R30" t="s">
        <v>289</v>
      </c>
      <c r="S30" t="s">
        <v>209</v>
      </c>
      <c r="T30" t="s">
        <v>210</v>
      </c>
      <c r="U30" t="s">
        <v>352</v>
      </c>
      <c r="V30" t="s">
        <v>190</v>
      </c>
      <c r="W30" t="s">
        <v>461</v>
      </c>
      <c r="Z30" t="s">
        <v>290</v>
      </c>
      <c r="AA30" t="s">
        <v>353</v>
      </c>
      <c r="AB30" t="s">
        <v>354</v>
      </c>
      <c r="AD30" t="s">
        <v>278</v>
      </c>
      <c r="AE30" t="s">
        <v>278</v>
      </c>
      <c r="AF30" t="s">
        <v>313</v>
      </c>
      <c r="AN30">
        <v>7</v>
      </c>
      <c r="AU30" s="2" t="str">
        <f>IF(ISNUMBER(FIND("Call Out",D30)),SUM(AG30:AH30)+SUM(AJ30:AM30)+SUM(AO30:AT30),IF(ISNUMBER(FIND("Renta Solicitada",D30)),IF(AND(AV30&lt;&gt;"",AV30&gt;0),IF(AND(AW30&lt;&gt;"",AW30&gt;0),AW30*(AV30/(SUMPRODUCT(--(L2:L52=L30),AV2:AV52))),""),""),""))</f>
        <v/>
      </c>
      <c r="AV30" s="2" t="str">
        <f t="shared" si="0"/>
        <v/>
      </c>
      <c r="AY30" s="2">
        <f t="shared" si="1"/>
        <v>0</v>
      </c>
      <c r="BI30" t="s">
        <v>294</v>
      </c>
      <c r="BR30" t="s">
        <v>462</v>
      </c>
    </row>
    <row r="31" spans="1:70" x14ac:dyDescent="0.25">
      <c r="A31" t="s">
        <v>355</v>
      </c>
      <c r="C31" t="s">
        <v>355</v>
      </c>
      <c r="D31" t="s">
        <v>226</v>
      </c>
      <c r="E31" t="s">
        <v>195</v>
      </c>
      <c r="G31" t="s">
        <v>173</v>
      </c>
      <c r="H31" t="s">
        <v>278</v>
      </c>
      <c r="I31" t="s">
        <v>460</v>
      </c>
      <c r="J31" t="s">
        <v>355</v>
      </c>
      <c r="K31" t="s">
        <v>355</v>
      </c>
      <c r="L31" s="9" t="s">
        <v>465</v>
      </c>
      <c r="O31" t="s">
        <v>176</v>
      </c>
      <c r="P31" s="7">
        <v>45161</v>
      </c>
      <c r="Q31" t="s">
        <v>288</v>
      </c>
      <c r="R31" t="s">
        <v>289</v>
      </c>
      <c r="S31" t="s">
        <v>209</v>
      </c>
      <c r="T31" t="s">
        <v>210</v>
      </c>
      <c r="U31" t="s">
        <v>356</v>
      </c>
      <c r="V31" t="s">
        <v>357</v>
      </c>
      <c r="W31" t="s">
        <v>461</v>
      </c>
      <c r="Z31" t="s">
        <v>290</v>
      </c>
      <c r="AA31" t="s">
        <v>358</v>
      </c>
      <c r="AB31" t="s">
        <v>359</v>
      </c>
      <c r="AD31" t="s">
        <v>278</v>
      </c>
      <c r="AE31" t="s">
        <v>278</v>
      </c>
      <c r="AF31" t="s">
        <v>313</v>
      </c>
      <c r="AN31">
        <v>7</v>
      </c>
      <c r="AU31" s="2">
        <f>IF(ISNUMBER(FIND("Call Out",D31)),SUM(AG31:AH31)+SUM(AJ31:AM31)+SUM(AO31:AT31),IF(ISNUMBER(FIND("Renta Solicitada",D31)),IF(AND(AV31&lt;&gt;"",AV31&gt;0),IF(AND(AW31&lt;&gt;"",AW31&gt;0),AW31*(AV31/(SUMPRODUCT(--(L2:L52=L31),AV2:AV52))),""),""),""))</f>
        <v>0</v>
      </c>
      <c r="AV31" s="2" t="str">
        <f t="shared" si="0"/>
        <v/>
      </c>
      <c r="AY31" s="2">
        <f t="shared" si="1"/>
        <v>0</v>
      </c>
      <c r="BI31" t="s">
        <v>294</v>
      </c>
      <c r="BR31" t="s">
        <v>462</v>
      </c>
    </row>
    <row r="32" spans="1:70" x14ac:dyDescent="0.25">
      <c r="A32" t="s">
        <v>360</v>
      </c>
      <c r="C32" t="s">
        <v>360</v>
      </c>
      <c r="D32" t="s">
        <v>251</v>
      </c>
      <c r="E32" t="s">
        <v>172</v>
      </c>
      <c r="G32" t="s">
        <v>173</v>
      </c>
      <c r="H32" t="s">
        <v>278</v>
      </c>
      <c r="I32" t="s">
        <v>460</v>
      </c>
      <c r="J32" t="s">
        <v>360</v>
      </c>
      <c r="K32" t="s">
        <v>360</v>
      </c>
      <c r="L32" s="9" t="s">
        <v>465</v>
      </c>
      <c r="M32" t="s">
        <v>361</v>
      </c>
      <c r="N32" t="s">
        <v>361</v>
      </c>
      <c r="O32" t="s">
        <v>176</v>
      </c>
      <c r="P32" s="7">
        <v>45161</v>
      </c>
      <c r="Q32" t="s">
        <v>288</v>
      </c>
      <c r="R32" t="s">
        <v>289</v>
      </c>
      <c r="S32" t="s">
        <v>209</v>
      </c>
      <c r="T32" t="s">
        <v>210</v>
      </c>
      <c r="U32" t="s">
        <v>247</v>
      </c>
      <c r="V32" t="s">
        <v>190</v>
      </c>
      <c r="W32" t="s">
        <v>461</v>
      </c>
      <c r="Y32">
        <v>1900071728</v>
      </c>
      <c r="Z32" t="s">
        <v>290</v>
      </c>
      <c r="AA32" t="s">
        <v>362</v>
      </c>
      <c r="AB32" t="s">
        <v>362</v>
      </c>
      <c r="AD32" t="s">
        <v>278</v>
      </c>
      <c r="AE32" t="s">
        <v>278</v>
      </c>
      <c r="AF32" t="s">
        <v>313</v>
      </c>
      <c r="AN32">
        <v>7</v>
      </c>
      <c r="AU32" s="2" t="str">
        <f>IF(ISNUMBER(FIND("Call Out",D32)),SUM(AG32:AH32)+SUM(AJ32:AM32)+SUM(AO32:AT32),IF(ISNUMBER(FIND("Renta Solicitada",D32)),IF(AND(AV32&lt;&gt;"",AV32&gt;0),IF(AND(AW32&lt;&gt;"",AW32&gt;0),AW32*(AV32/(SUMPRODUCT(--(L2:L52=L32),AV2:AV52))),""),""),""))</f>
        <v/>
      </c>
      <c r="AV32" s="2" t="str">
        <f t="shared" si="0"/>
        <v/>
      </c>
      <c r="AY32" s="2">
        <f t="shared" si="1"/>
        <v>0</v>
      </c>
      <c r="BI32" t="s">
        <v>294</v>
      </c>
      <c r="BR32" t="s">
        <v>462</v>
      </c>
    </row>
    <row r="33" spans="1:70" x14ac:dyDescent="0.25">
      <c r="A33" t="s">
        <v>363</v>
      </c>
      <c r="C33" t="s">
        <v>363</v>
      </c>
      <c r="D33" t="s">
        <v>251</v>
      </c>
      <c r="E33" t="s">
        <v>195</v>
      </c>
      <c r="G33" t="s">
        <v>173</v>
      </c>
      <c r="H33" t="s">
        <v>278</v>
      </c>
      <c r="I33" t="s">
        <v>460</v>
      </c>
      <c r="J33" t="s">
        <v>363</v>
      </c>
      <c r="K33" t="s">
        <v>363</v>
      </c>
      <c r="L33" s="9" t="s">
        <v>465</v>
      </c>
      <c r="M33" t="s">
        <v>364</v>
      </c>
      <c r="N33" t="s">
        <v>364</v>
      </c>
      <c r="O33" t="s">
        <v>176</v>
      </c>
      <c r="P33" s="7">
        <v>45161</v>
      </c>
      <c r="Q33" t="s">
        <v>288</v>
      </c>
      <c r="R33" t="s">
        <v>289</v>
      </c>
      <c r="S33" t="s">
        <v>209</v>
      </c>
      <c r="T33" t="s">
        <v>210</v>
      </c>
      <c r="U33" t="s">
        <v>247</v>
      </c>
      <c r="V33" t="s">
        <v>190</v>
      </c>
      <c r="W33" t="s">
        <v>461</v>
      </c>
      <c r="Y33">
        <v>1900100493</v>
      </c>
      <c r="Z33" t="s">
        <v>290</v>
      </c>
      <c r="AA33" t="s">
        <v>362</v>
      </c>
      <c r="AB33" t="s">
        <v>365</v>
      </c>
      <c r="AD33" t="s">
        <v>278</v>
      </c>
      <c r="AE33" t="s">
        <v>278</v>
      </c>
      <c r="AF33" t="s">
        <v>313</v>
      </c>
      <c r="AN33">
        <v>7</v>
      </c>
      <c r="AU33" s="2" t="str">
        <f>IF(ISNUMBER(FIND("Call Out",D33)),SUM(AG33:AH33)+SUM(AJ33:AM33)+SUM(AO33:AT33),IF(ISNUMBER(FIND("Renta Solicitada",D33)),IF(AND(AV33&lt;&gt;"",AV33&gt;0),IF(AND(AW33&lt;&gt;"",AW33&gt;0),AW33*(AV33/(SUMPRODUCT(--(L2:L52=L33),AV2:AV52))),""),""),""))</f>
        <v/>
      </c>
      <c r="AV33" s="2" t="str">
        <f t="shared" si="0"/>
        <v/>
      </c>
      <c r="AY33" s="2">
        <f t="shared" si="1"/>
        <v>0</v>
      </c>
      <c r="BI33" t="s">
        <v>294</v>
      </c>
      <c r="BR33" t="s">
        <v>462</v>
      </c>
    </row>
    <row r="34" spans="1:70" x14ac:dyDescent="0.25">
      <c r="A34" t="s">
        <v>366</v>
      </c>
      <c r="C34" t="s">
        <v>366</v>
      </c>
      <c r="D34" t="s">
        <v>251</v>
      </c>
      <c r="E34" t="s">
        <v>195</v>
      </c>
      <c r="G34" t="s">
        <v>173</v>
      </c>
      <c r="H34" t="s">
        <v>334</v>
      </c>
      <c r="I34" t="s">
        <v>460</v>
      </c>
      <c r="J34" t="s">
        <v>366</v>
      </c>
      <c r="K34" t="s">
        <v>366</v>
      </c>
      <c r="L34" s="9" t="s">
        <v>465</v>
      </c>
      <c r="M34" t="s">
        <v>367</v>
      </c>
      <c r="N34" t="s">
        <v>367</v>
      </c>
      <c r="O34" t="s">
        <v>176</v>
      </c>
      <c r="P34" s="7">
        <v>45161</v>
      </c>
      <c r="Q34" t="s">
        <v>177</v>
      </c>
      <c r="R34" t="s">
        <v>178</v>
      </c>
      <c r="S34" t="s">
        <v>209</v>
      </c>
      <c r="T34" t="s">
        <v>210</v>
      </c>
      <c r="U34" t="s">
        <v>270</v>
      </c>
      <c r="V34" t="s">
        <v>190</v>
      </c>
      <c r="W34" t="s">
        <v>461</v>
      </c>
      <c r="Y34">
        <v>1900080163</v>
      </c>
      <c r="Z34" t="s">
        <v>368</v>
      </c>
      <c r="AA34" t="s">
        <v>369</v>
      </c>
      <c r="AB34" t="s">
        <v>222</v>
      </c>
      <c r="AD34" t="s">
        <v>334</v>
      </c>
      <c r="AE34" t="s">
        <v>334</v>
      </c>
      <c r="AF34" t="s">
        <v>186</v>
      </c>
      <c r="AN34">
        <v>1</v>
      </c>
      <c r="AU34" s="2" t="str">
        <f>IF(ISNUMBER(FIND("Call Out",D34)),SUM(AG34:AH34)+SUM(AJ34:AM34)+SUM(AO34:AT34),IF(ISNUMBER(FIND("Renta Solicitada",D34)),IF(AND(AV34&lt;&gt;"",AV34&gt;0),IF(AND(AW34&lt;&gt;"",AW34&gt;0),AW34*(AV34/(SUMPRODUCT(--(L2:L52=L34),AV2:AV52))),""),""),""))</f>
        <v/>
      </c>
      <c r="AV34" s="2" t="str">
        <f t="shared" ref="AV34:AV52" si="2">IF(ISNUMBER(FIND("Call Out",D34)),"",IF(ISNUMBER(FIND("Renta Solicitada",D34)),SUM(AG34:AH34)+SUM(AJ34:AM34)+SUM(AO34:AT34),""))</f>
        <v/>
      </c>
      <c r="AY34" s="2">
        <f t="shared" ref="AY34:AY52" si="3">PRODUCT(AU34,AX34)</f>
        <v>0</v>
      </c>
      <c r="BI34" t="s">
        <v>370</v>
      </c>
      <c r="BR34" t="s">
        <v>462</v>
      </c>
    </row>
    <row r="35" spans="1:70" x14ac:dyDescent="0.25">
      <c r="A35" t="s">
        <v>371</v>
      </c>
      <c r="C35" t="s">
        <v>371</v>
      </c>
      <c r="D35" t="s">
        <v>333</v>
      </c>
      <c r="E35" t="s">
        <v>195</v>
      </c>
      <c r="G35" t="s">
        <v>173</v>
      </c>
      <c r="H35" t="s">
        <v>372</v>
      </c>
      <c r="I35" t="s">
        <v>460</v>
      </c>
      <c r="J35" t="s">
        <v>371</v>
      </c>
      <c r="K35" t="s">
        <v>371</v>
      </c>
      <c r="L35" s="9" t="s">
        <v>465</v>
      </c>
      <c r="M35" t="s">
        <v>373</v>
      </c>
      <c r="N35" t="s">
        <v>373</v>
      </c>
      <c r="O35" t="s">
        <v>176</v>
      </c>
      <c r="P35" s="7">
        <v>45161</v>
      </c>
      <c r="Q35" t="s">
        <v>261</v>
      </c>
      <c r="R35" t="s">
        <v>262</v>
      </c>
      <c r="S35" t="s">
        <v>209</v>
      </c>
      <c r="T35" t="s">
        <v>210</v>
      </c>
      <c r="U35" t="s">
        <v>270</v>
      </c>
      <c r="V35" t="s">
        <v>190</v>
      </c>
      <c r="W35" t="s">
        <v>461</v>
      </c>
      <c r="Y35">
        <v>1900066658</v>
      </c>
      <c r="Z35" t="s">
        <v>374</v>
      </c>
      <c r="AA35" t="s">
        <v>375</v>
      </c>
      <c r="AB35" t="s">
        <v>375</v>
      </c>
      <c r="AD35" t="s">
        <v>372</v>
      </c>
      <c r="AE35" t="s">
        <v>372</v>
      </c>
      <c r="AF35" t="s">
        <v>376</v>
      </c>
      <c r="AN35">
        <v>2</v>
      </c>
      <c r="AU35" s="2" t="str">
        <f>IF(ISNUMBER(FIND("Call Out",D35)),SUM(AG35:AH35)+SUM(AJ35:AM35)+SUM(AO35:AT35),IF(ISNUMBER(FIND("Renta Solicitada",D35)),IF(AND(AV35&lt;&gt;"",AV35&gt;0),IF(AND(AW35&lt;&gt;"",AW35&gt;0),AW35*(AV35/(SUMPRODUCT(--(L2:L52=L35),AV2:AV52))),""),""),""))</f>
        <v/>
      </c>
      <c r="AV35" s="2" t="str">
        <f t="shared" si="2"/>
        <v/>
      </c>
      <c r="AY35" s="2">
        <f t="shared" si="3"/>
        <v>0</v>
      </c>
      <c r="BI35" t="s">
        <v>377</v>
      </c>
      <c r="BR35" t="s">
        <v>462</v>
      </c>
    </row>
    <row r="36" spans="1:70" x14ac:dyDescent="0.25">
      <c r="A36" t="s">
        <v>378</v>
      </c>
      <c r="C36" t="s">
        <v>378</v>
      </c>
      <c r="D36" t="s">
        <v>251</v>
      </c>
      <c r="E36" t="s">
        <v>172</v>
      </c>
      <c r="G36" t="s">
        <v>173</v>
      </c>
      <c r="H36" t="s">
        <v>379</v>
      </c>
      <c r="I36" t="s">
        <v>460</v>
      </c>
      <c r="J36" t="s">
        <v>378</v>
      </c>
      <c r="K36" t="s">
        <v>378</v>
      </c>
      <c r="L36" s="9" t="s">
        <v>465</v>
      </c>
      <c r="M36" t="s">
        <v>380</v>
      </c>
      <c r="N36" t="s">
        <v>380</v>
      </c>
      <c r="O36" t="s">
        <v>176</v>
      </c>
      <c r="P36" s="7">
        <v>45161</v>
      </c>
      <c r="Q36" t="s">
        <v>227</v>
      </c>
      <c r="R36" t="s">
        <v>189</v>
      </c>
      <c r="S36" t="s">
        <v>209</v>
      </c>
      <c r="T36" t="s">
        <v>210</v>
      </c>
      <c r="U36" t="s">
        <v>220</v>
      </c>
      <c r="V36" t="s">
        <v>190</v>
      </c>
      <c r="W36" t="s">
        <v>461</v>
      </c>
      <c r="Y36">
        <v>1900022419</v>
      </c>
      <c r="Z36" t="s">
        <v>381</v>
      </c>
      <c r="AA36" t="s">
        <v>291</v>
      </c>
      <c r="AB36" t="s">
        <v>382</v>
      </c>
      <c r="AD36" t="s">
        <v>379</v>
      </c>
      <c r="AE36" t="s">
        <v>379</v>
      </c>
      <c r="AF36" t="s">
        <v>383</v>
      </c>
      <c r="AN36">
        <v>2</v>
      </c>
      <c r="AU36" s="2" t="str">
        <f>IF(ISNUMBER(FIND("Call Out",D36)),SUM(AG36:AH36)+SUM(AJ36:AM36)+SUM(AO36:AT36),IF(ISNUMBER(FIND("Renta Solicitada",D36)),IF(AND(AV36&lt;&gt;"",AV36&gt;0),IF(AND(AW36&lt;&gt;"",AW36&gt;0),AW36*(AV36/(SUMPRODUCT(--(L2:L52=L36),AV2:AV52))),""),""),""))</f>
        <v/>
      </c>
      <c r="AV36" s="2" t="str">
        <f t="shared" si="2"/>
        <v/>
      </c>
      <c r="AY36" s="2">
        <f t="shared" si="3"/>
        <v>0</v>
      </c>
      <c r="BI36" t="s">
        <v>384</v>
      </c>
      <c r="BR36" t="s">
        <v>462</v>
      </c>
    </row>
    <row r="37" spans="1:70" x14ac:dyDescent="0.25">
      <c r="A37" t="s">
        <v>385</v>
      </c>
      <c r="C37" t="s">
        <v>385</v>
      </c>
      <c r="D37" t="s">
        <v>386</v>
      </c>
      <c r="E37" t="s">
        <v>195</v>
      </c>
      <c r="G37" t="s">
        <v>173</v>
      </c>
      <c r="H37" t="s">
        <v>278</v>
      </c>
      <c r="I37" t="s">
        <v>460</v>
      </c>
      <c r="J37" t="s">
        <v>385</v>
      </c>
      <c r="K37" t="s">
        <v>385</v>
      </c>
      <c r="L37" s="9" t="s">
        <v>465</v>
      </c>
      <c r="M37" t="s">
        <v>387</v>
      </c>
      <c r="N37" t="s">
        <v>387</v>
      </c>
      <c r="O37" t="s">
        <v>176</v>
      </c>
      <c r="P37" s="7">
        <v>45161</v>
      </c>
      <c r="Q37" t="s">
        <v>188</v>
      </c>
      <c r="R37" t="s">
        <v>189</v>
      </c>
      <c r="S37" t="s">
        <v>209</v>
      </c>
      <c r="T37" t="s">
        <v>210</v>
      </c>
      <c r="U37" t="s">
        <v>220</v>
      </c>
      <c r="V37" t="s">
        <v>190</v>
      </c>
      <c r="W37" t="s">
        <v>461</v>
      </c>
      <c r="Y37">
        <v>1900080164</v>
      </c>
      <c r="Z37" t="s">
        <v>187</v>
      </c>
      <c r="AA37" t="s">
        <v>388</v>
      </c>
      <c r="AB37" t="s">
        <v>180</v>
      </c>
      <c r="AD37" t="s">
        <v>278</v>
      </c>
      <c r="AE37" t="s">
        <v>278</v>
      </c>
      <c r="AF37" t="s">
        <v>205</v>
      </c>
      <c r="AN37">
        <v>2</v>
      </c>
      <c r="AU37" s="2" t="str">
        <f>IF(ISNUMBER(FIND("Call Out",D37)),SUM(AG37:AH37)+SUM(AJ37:AM37)+SUM(AO37:AT37),IF(ISNUMBER(FIND("Renta Solicitada",D37)),IF(AND(AV37&lt;&gt;"",AV37&gt;0),IF(AND(AW37&lt;&gt;"",AW37&gt;0),AW37*(AV37/(SUMPRODUCT(--(L2:L52=L37),AV2:AV52))),""),""),""))</f>
        <v/>
      </c>
      <c r="AV37" s="2" t="str">
        <f t="shared" si="2"/>
        <v/>
      </c>
      <c r="AY37" s="2">
        <f t="shared" si="3"/>
        <v>0</v>
      </c>
      <c r="BI37" t="s">
        <v>193</v>
      </c>
      <c r="BR37" t="s">
        <v>462</v>
      </c>
    </row>
    <row r="38" spans="1:70" x14ac:dyDescent="0.25">
      <c r="A38" t="s">
        <v>390</v>
      </c>
      <c r="B38" t="s">
        <v>390</v>
      </c>
      <c r="C38" t="s">
        <v>390</v>
      </c>
      <c r="D38" t="s">
        <v>277</v>
      </c>
      <c r="E38" t="s">
        <v>195</v>
      </c>
      <c r="G38" t="s">
        <v>173</v>
      </c>
      <c r="H38" t="s">
        <v>391</v>
      </c>
      <c r="I38" t="s">
        <v>460</v>
      </c>
      <c r="J38" t="s">
        <v>389</v>
      </c>
      <c r="K38" t="s">
        <v>389</v>
      </c>
      <c r="L38" s="9" t="s">
        <v>465</v>
      </c>
      <c r="M38" t="s">
        <v>209</v>
      </c>
      <c r="N38" t="s">
        <v>392</v>
      </c>
      <c r="O38" t="s">
        <v>464</v>
      </c>
      <c r="P38" s="7">
        <v>45161</v>
      </c>
      <c r="Q38" t="s">
        <v>297</v>
      </c>
      <c r="R38" t="s">
        <v>262</v>
      </c>
      <c r="S38" t="s">
        <v>209</v>
      </c>
      <c r="T38" t="s">
        <v>210</v>
      </c>
      <c r="U38" t="s">
        <v>393</v>
      </c>
      <c r="V38" t="s">
        <v>190</v>
      </c>
      <c r="W38" t="s">
        <v>461</v>
      </c>
      <c r="Y38">
        <v>1900083854</v>
      </c>
      <c r="Z38" t="s">
        <v>394</v>
      </c>
      <c r="AA38" t="s">
        <v>375</v>
      </c>
      <c r="AB38" t="s">
        <v>395</v>
      </c>
      <c r="AD38" t="s">
        <v>391</v>
      </c>
      <c r="AE38" t="s">
        <v>391</v>
      </c>
      <c r="AF38" t="s">
        <v>396</v>
      </c>
      <c r="AI38">
        <v>1687080</v>
      </c>
      <c r="AJ38">
        <v>1687080</v>
      </c>
      <c r="AN38">
        <v>2</v>
      </c>
      <c r="AU38" s="2">
        <f>IF(ISNUMBER(FIND("Call Out",D38)),SUM(AG38:AH38)+SUM(AJ38:AM38)+SUM(AO38:AT38),IF(ISNUMBER(FIND("Renta Solicitada",D38)),IF(AND(AV38&lt;&gt;"",AV38&gt;0),IF(AND(AW38&lt;&gt;"",AW38&gt;0),AW38*(AV38/(SUMPRODUCT(--(L2:L52=L38),AV2:AV52))),""),""),""))</f>
        <v>1687080</v>
      </c>
      <c r="AV38" s="2" t="str">
        <f t="shared" si="2"/>
        <v/>
      </c>
      <c r="AY38" s="2">
        <f t="shared" si="3"/>
        <v>1687080</v>
      </c>
      <c r="BI38" t="s">
        <v>397</v>
      </c>
      <c r="BR38" t="s">
        <v>462</v>
      </c>
    </row>
    <row r="39" spans="1:70" x14ac:dyDescent="0.25">
      <c r="A39" t="s">
        <v>398</v>
      </c>
      <c r="C39" t="s">
        <v>398</v>
      </c>
      <c r="D39" t="s">
        <v>386</v>
      </c>
      <c r="E39" t="s">
        <v>195</v>
      </c>
      <c r="G39" t="s">
        <v>173</v>
      </c>
      <c r="H39" t="s">
        <v>338</v>
      </c>
      <c r="I39" t="s">
        <v>460</v>
      </c>
      <c r="J39" t="s">
        <v>398</v>
      </c>
      <c r="K39" t="s">
        <v>398</v>
      </c>
      <c r="L39" s="9" t="s">
        <v>465</v>
      </c>
      <c r="M39" t="s">
        <v>399</v>
      </c>
      <c r="N39" t="s">
        <v>399</v>
      </c>
      <c r="O39" t="s">
        <v>176</v>
      </c>
      <c r="P39" s="7">
        <v>45161</v>
      </c>
      <c r="Q39" t="s">
        <v>188</v>
      </c>
      <c r="R39" t="s">
        <v>189</v>
      </c>
      <c r="S39" t="s">
        <v>209</v>
      </c>
      <c r="T39" t="s">
        <v>210</v>
      </c>
      <c r="U39" t="s">
        <v>220</v>
      </c>
      <c r="V39" t="s">
        <v>190</v>
      </c>
      <c r="W39" t="s">
        <v>461</v>
      </c>
      <c r="Y39">
        <v>1900022419</v>
      </c>
      <c r="Z39" t="s">
        <v>187</v>
      </c>
      <c r="AA39" t="s">
        <v>180</v>
      </c>
      <c r="AB39" t="s">
        <v>400</v>
      </c>
      <c r="AD39" t="s">
        <v>338</v>
      </c>
      <c r="AE39" t="s">
        <v>338</v>
      </c>
      <c r="AF39" t="s">
        <v>401</v>
      </c>
      <c r="AN39">
        <v>1</v>
      </c>
      <c r="AU39" s="2" t="str">
        <f>IF(ISNUMBER(FIND("Call Out",D39)),SUM(AG39:AH39)+SUM(AJ39:AM39)+SUM(AO39:AT39),IF(ISNUMBER(FIND("Renta Solicitada",D39)),IF(AND(AV39&lt;&gt;"",AV39&gt;0),IF(AND(AW39&lt;&gt;"",AW39&gt;0),AW39*(AV39/(SUMPRODUCT(--(L2:L52=L39),AV2:AV52))),""),""),""))</f>
        <v/>
      </c>
      <c r="AV39" s="2" t="str">
        <f t="shared" si="2"/>
        <v/>
      </c>
      <c r="AY39" s="2">
        <f t="shared" si="3"/>
        <v>0</v>
      </c>
      <c r="BI39" t="s">
        <v>193</v>
      </c>
      <c r="BR39" t="s">
        <v>462</v>
      </c>
    </row>
    <row r="40" spans="1:70" x14ac:dyDescent="0.25">
      <c r="A40" t="s">
        <v>402</v>
      </c>
      <c r="C40" t="s">
        <v>402</v>
      </c>
      <c r="D40" t="s">
        <v>251</v>
      </c>
      <c r="E40" t="s">
        <v>195</v>
      </c>
      <c r="G40" t="s">
        <v>173</v>
      </c>
      <c r="H40" t="s">
        <v>403</v>
      </c>
      <c r="I40" t="s">
        <v>460</v>
      </c>
      <c r="J40" t="s">
        <v>402</v>
      </c>
      <c r="K40" t="s">
        <v>402</v>
      </c>
      <c r="L40" s="9" t="s">
        <v>465</v>
      </c>
      <c r="M40" t="s">
        <v>404</v>
      </c>
      <c r="N40" t="s">
        <v>404</v>
      </c>
      <c r="O40" t="s">
        <v>176</v>
      </c>
      <c r="P40" s="7">
        <v>45161</v>
      </c>
      <c r="Q40" t="s">
        <v>288</v>
      </c>
      <c r="R40" t="s">
        <v>289</v>
      </c>
      <c r="S40" t="s">
        <v>209</v>
      </c>
      <c r="T40" t="s">
        <v>210</v>
      </c>
      <c r="U40" t="s">
        <v>220</v>
      </c>
      <c r="V40" t="s">
        <v>190</v>
      </c>
      <c r="W40" t="s">
        <v>461</v>
      </c>
      <c r="Y40">
        <v>1900084358</v>
      </c>
      <c r="Z40" t="s">
        <v>290</v>
      </c>
      <c r="AA40" t="s">
        <v>222</v>
      </c>
      <c r="AB40" t="s">
        <v>405</v>
      </c>
      <c r="AD40" t="s">
        <v>403</v>
      </c>
      <c r="AE40" t="s">
        <v>403</v>
      </c>
      <c r="AF40" t="s">
        <v>406</v>
      </c>
      <c r="AN40">
        <v>1</v>
      </c>
      <c r="AU40" s="2" t="str">
        <f>IF(ISNUMBER(FIND("Call Out",D40)),SUM(AG40:AH40)+SUM(AJ40:AM40)+SUM(AO40:AT40),IF(ISNUMBER(FIND("Renta Solicitada",D40)),IF(AND(AV40&lt;&gt;"",AV40&gt;0),IF(AND(AW40&lt;&gt;"",AW40&gt;0),AW40*(AV40/(SUMPRODUCT(--(L2:L52=L40),AV2:AV52))),""),""),""))</f>
        <v/>
      </c>
      <c r="AV40" s="2" t="str">
        <f t="shared" si="2"/>
        <v/>
      </c>
      <c r="AY40" s="2">
        <f t="shared" si="3"/>
        <v>0</v>
      </c>
      <c r="BI40" t="s">
        <v>294</v>
      </c>
      <c r="BR40" t="s">
        <v>462</v>
      </c>
    </row>
    <row r="41" spans="1:70" x14ac:dyDescent="0.25">
      <c r="A41" t="s">
        <v>407</v>
      </c>
      <c r="C41" t="s">
        <v>407</v>
      </c>
      <c r="D41" t="s">
        <v>408</v>
      </c>
      <c r="E41" t="s">
        <v>195</v>
      </c>
      <c r="G41" t="s">
        <v>173</v>
      </c>
      <c r="H41" t="s">
        <v>338</v>
      </c>
      <c r="I41" t="s">
        <v>460</v>
      </c>
      <c r="J41" t="s">
        <v>407</v>
      </c>
      <c r="K41" t="s">
        <v>407</v>
      </c>
      <c r="L41" s="9" t="s">
        <v>465</v>
      </c>
      <c r="M41" t="s">
        <v>409</v>
      </c>
      <c r="N41" t="s">
        <v>409</v>
      </c>
      <c r="O41" t="s">
        <v>176</v>
      </c>
      <c r="P41" s="7">
        <v>45161</v>
      </c>
      <c r="Q41" t="s">
        <v>188</v>
      </c>
      <c r="R41" t="s">
        <v>189</v>
      </c>
      <c r="S41" t="s">
        <v>209</v>
      </c>
      <c r="T41" t="s">
        <v>210</v>
      </c>
      <c r="U41" t="s">
        <v>270</v>
      </c>
      <c r="V41" t="s">
        <v>190</v>
      </c>
      <c r="W41" t="s">
        <v>461</v>
      </c>
      <c r="Y41">
        <v>1900097888</v>
      </c>
      <c r="Z41" t="s">
        <v>187</v>
      </c>
      <c r="AA41" t="s">
        <v>180</v>
      </c>
      <c r="AB41" t="s">
        <v>410</v>
      </c>
      <c r="AD41" t="s">
        <v>338</v>
      </c>
      <c r="AE41" t="s">
        <v>338</v>
      </c>
      <c r="AF41" t="s">
        <v>411</v>
      </c>
      <c r="AN41">
        <v>1</v>
      </c>
      <c r="AU41" s="2" t="str">
        <f>IF(ISNUMBER(FIND("Call Out",D41)),SUM(AG41:AH41)+SUM(AJ41:AM41)+SUM(AO41:AT41),IF(ISNUMBER(FIND("Renta Solicitada",D41)),IF(AND(AV41&lt;&gt;"",AV41&gt;0),IF(AND(AW41&lt;&gt;"",AW41&gt;0),AW41*(AV41/(SUMPRODUCT(--(L2:L52=L41),AV2:AV52))),""),""),""))</f>
        <v/>
      </c>
      <c r="AV41" s="2" t="str">
        <f t="shared" si="2"/>
        <v/>
      </c>
      <c r="AY41" s="2">
        <f t="shared" si="3"/>
        <v>0</v>
      </c>
      <c r="BI41" t="s">
        <v>193</v>
      </c>
      <c r="BR41" t="s">
        <v>462</v>
      </c>
    </row>
    <row r="42" spans="1:70" x14ac:dyDescent="0.25">
      <c r="A42" t="s">
        <v>412</v>
      </c>
      <c r="C42" t="s">
        <v>412</v>
      </c>
      <c r="D42" t="s">
        <v>251</v>
      </c>
      <c r="E42" t="s">
        <v>195</v>
      </c>
      <c r="G42" t="s">
        <v>173</v>
      </c>
      <c r="H42" t="s">
        <v>338</v>
      </c>
      <c r="I42" t="s">
        <v>460</v>
      </c>
      <c r="J42" t="s">
        <v>412</v>
      </c>
      <c r="K42" t="s">
        <v>412</v>
      </c>
      <c r="L42" s="9" t="s">
        <v>465</v>
      </c>
      <c r="M42" t="s">
        <v>413</v>
      </c>
      <c r="N42" t="s">
        <v>413</v>
      </c>
      <c r="O42" t="s">
        <v>176</v>
      </c>
      <c r="P42" s="7">
        <v>45161</v>
      </c>
      <c r="Q42" t="s">
        <v>188</v>
      </c>
      <c r="R42" t="s">
        <v>189</v>
      </c>
      <c r="S42" t="s">
        <v>209</v>
      </c>
      <c r="T42" t="s">
        <v>210</v>
      </c>
      <c r="U42" t="s">
        <v>270</v>
      </c>
      <c r="V42" t="s">
        <v>190</v>
      </c>
      <c r="W42" t="s">
        <v>461</v>
      </c>
      <c r="Y42">
        <v>1900079429</v>
      </c>
      <c r="Z42" t="s">
        <v>187</v>
      </c>
      <c r="AA42" t="s">
        <v>180</v>
      </c>
      <c r="AB42" t="s">
        <v>222</v>
      </c>
      <c r="AD42" t="s">
        <v>338</v>
      </c>
      <c r="AE42" t="s">
        <v>338</v>
      </c>
      <c r="AF42" t="s">
        <v>411</v>
      </c>
      <c r="AN42">
        <v>1</v>
      </c>
      <c r="AU42" s="2" t="str">
        <f>IF(ISNUMBER(FIND("Call Out",D42)),SUM(AG42:AH42)+SUM(AJ42:AM42)+SUM(AO42:AT42),IF(ISNUMBER(FIND("Renta Solicitada",D42)),IF(AND(AV42&lt;&gt;"",AV42&gt;0),IF(AND(AW42&lt;&gt;"",AW42&gt;0),AW42*(AV42/(SUMPRODUCT(--(L2:L52=L42),AV2:AV52))),""),""),""))</f>
        <v/>
      </c>
      <c r="AV42" s="2" t="str">
        <f t="shared" si="2"/>
        <v/>
      </c>
      <c r="AY42" s="2">
        <f t="shared" si="3"/>
        <v>0</v>
      </c>
      <c r="BI42" t="s">
        <v>193</v>
      </c>
      <c r="BR42" t="s">
        <v>462</v>
      </c>
    </row>
    <row r="43" spans="1:70" x14ac:dyDescent="0.25">
      <c r="A43" t="s">
        <v>414</v>
      </c>
      <c r="C43" t="s">
        <v>414</v>
      </c>
      <c r="D43" t="s">
        <v>415</v>
      </c>
      <c r="E43" t="s">
        <v>195</v>
      </c>
      <c r="G43" t="s">
        <v>173</v>
      </c>
      <c r="H43" t="s">
        <v>416</v>
      </c>
      <c r="I43" t="s">
        <v>460</v>
      </c>
      <c r="J43" t="s">
        <v>414</v>
      </c>
      <c r="K43" t="s">
        <v>414</v>
      </c>
      <c r="L43" s="9" t="s">
        <v>465</v>
      </c>
      <c r="M43" t="s">
        <v>417</v>
      </c>
      <c r="N43" t="s">
        <v>417</v>
      </c>
      <c r="O43" t="s">
        <v>176</v>
      </c>
      <c r="P43" s="7">
        <v>45161</v>
      </c>
      <c r="Q43" t="s">
        <v>188</v>
      </c>
      <c r="R43" t="s">
        <v>189</v>
      </c>
      <c r="S43" t="s">
        <v>209</v>
      </c>
      <c r="T43" t="s">
        <v>210</v>
      </c>
      <c r="U43" t="s">
        <v>270</v>
      </c>
      <c r="V43" t="s">
        <v>190</v>
      </c>
      <c r="W43" t="s">
        <v>461</v>
      </c>
      <c r="Y43">
        <v>1900100495</v>
      </c>
      <c r="Z43" t="s">
        <v>187</v>
      </c>
      <c r="AA43" t="s">
        <v>418</v>
      </c>
      <c r="AB43" t="s">
        <v>180</v>
      </c>
      <c r="AD43" t="s">
        <v>416</v>
      </c>
      <c r="AE43" t="s">
        <v>416</v>
      </c>
      <c r="AF43" t="s">
        <v>419</v>
      </c>
      <c r="AN43">
        <v>1</v>
      </c>
      <c r="AU43" s="2" t="str">
        <f>IF(ISNUMBER(FIND("Call Out",D43)),SUM(AG43:AH43)+SUM(AJ43:AM43)+SUM(AO43:AT43),IF(ISNUMBER(FIND("Renta Solicitada",D43)),IF(AND(AV43&lt;&gt;"",AV43&gt;0),IF(AND(AW43&lt;&gt;"",AW43&gt;0),AW43*(AV43/(SUMPRODUCT(--(L2:L52=L43),AV2:AV52))),""),""),""))</f>
        <v/>
      </c>
      <c r="AV43" s="2" t="str">
        <f t="shared" si="2"/>
        <v/>
      </c>
      <c r="AY43" s="2">
        <f t="shared" si="3"/>
        <v>0</v>
      </c>
      <c r="BI43" t="s">
        <v>193</v>
      </c>
      <c r="BR43" t="s">
        <v>462</v>
      </c>
    </row>
    <row r="44" spans="1:70" x14ac:dyDescent="0.25">
      <c r="A44" t="s">
        <v>420</v>
      </c>
      <c r="C44" t="s">
        <v>420</v>
      </c>
      <c r="D44" t="s">
        <v>421</v>
      </c>
      <c r="E44" t="s">
        <v>195</v>
      </c>
      <c r="G44" t="s">
        <v>173</v>
      </c>
      <c r="H44" t="s">
        <v>391</v>
      </c>
      <c r="I44" t="s">
        <v>460</v>
      </c>
      <c r="J44" t="s">
        <v>420</v>
      </c>
      <c r="K44" t="s">
        <v>420</v>
      </c>
      <c r="L44" s="9" t="s">
        <v>465</v>
      </c>
      <c r="M44" t="s">
        <v>303</v>
      </c>
      <c r="N44" t="s">
        <v>303</v>
      </c>
      <c r="O44" t="s">
        <v>464</v>
      </c>
      <c r="P44" s="7">
        <v>45161</v>
      </c>
      <c r="Q44" t="s">
        <v>297</v>
      </c>
      <c r="R44" t="s">
        <v>262</v>
      </c>
      <c r="S44" t="s">
        <v>209</v>
      </c>
      <c r="T44" t="s">
        <v>210</v>
      </c>
      <c r="U44" t="s">
        <v>270</v>
      </c>
      <c r="V44" t="s">
        <v>190</v>
      </c>
      <c r="W44" t="s">
        <v>461</v>
      </c>
      <c r="Y44">
        <v>1900099496</v>
      </c>
      <c r="Z44" t="s">
        <v>394</v>
      </c>
      <c r="AA44" t="s">
        <v>375</v>
      </c>
      <c r="AB44" t="s">
        <v>395</v>
      </c>
      <c r="AD44" t="s">
        <v>391</v>
      </c>
      <c r="AE44" t="s">
        <v>391</v>
      </c>
      <c r="AF44" t="s">
        <v>396</v>
      </c>
      <c r="AN44">
        <v>2</v>
      </c>
      <c r="AU44" s="2" t="str">
        <f>IF(ISNUMBER(FIND("Call Out",D44)),SUM(AG44:AH44)+SUM(AJ44:AM44)+SUM(AO44:AT44),IF(ISNUMBER(FIND("Renta Solicitada",D44)),IF(AND(AV44&lt;&gt;"",AV44&gt;0),IF(AND(AW44&lt;&gt;"",AW44&gt;0),AW44*(AV44/(SUMPRODUCT(--(L2:L52=L44),AV2:AV52))),""),""),""))</f>
        <v/>
      </c>
      <c r="AV44" s="2" t="str">
        <f t="shared" si="2"/>
        <v/>
      </c>
      <c r="AY44" s="2">
        <f t="shared" si="3"/>
        <v>0</v>
      </c>
      <c r="BI44" t="s">
        <v>397</v>
      </c>
      <c r="BR44" t="s">
        <v>462</v>
      </c>
    </row>
    <row r="45" spans="1:70" x14ac:dyDescent="0.25">
      <c r="A45" t="s">
        <v>422</v>
      </c>
      <c r="C45" t="s">
        <v>422</v>
      </c>
      <c r="D45" t="s">
        <v>351</v>
      </c>
      <c r="E45" t="s">
        <v>195</v>
      </c>
      <c r="G45" t="s">
        <v>173</v>
      </c>
      <c r="H45" t="s">
        <v>423</v>
      </c>
      <c r="I45" t="s">
        <v>460</v>
      </c>
      <c r="J45" t="s">
        <v>422</v>
      </c>
      <c r="K45" t="s">
        <v>422</v>
      </c>
      <c r="L45" s="9" t="s">
        <v>465</v>
      </c>
      <c r="O45" t="s">
        <v>176</v>
      </c>
      <c r="P45" s="7">
        <v>45161</v>
      </c>
      <c r="Q45" t="s">
        <v>297</v>
      </c>
      <c r="R45" t="s">
        <v>262</v>
      </c>
      <c r="S45" t="s">
        <v>209</v>
      </c>
      <c r="T45" t="s">
        <v>210</v>
      </c>
      <c r="V45" t="s">
        <v>190</v>
      </c>
      <c r="W45" t="s">
        <v>461</v>
      </c>
      <c r="Z45" t="s">
        <v>424</v>
      </c>
      <c r="AA45" t="s">
        <v>180</v>
      </c>
      <c r="AB45" t="s">
        <v>425</v>
      </c>
      <c r="AD45" t="s">
        <v>423</v>
      </c>
      <c r="AE45" t="s">
        <v>423</v>
      </c>
      <c r="AF45" t="s">
        <v>426</v>
      </c>
      <c r="AN45">
        <v>1</v>
      </c>
      <c r="AU45" s="2" t="str">
        <f>IF(ISNUMBER(FIND("Call Out",D45)),SUM(AG45:AH45)+SUM(AJ45:AM45)+SUM(AO45:AT45),IF(ISNUMBER(FIND("Renta Solicitada",D45)),IF(AND(AV45&lt;&gt;"",AV45&gt;0),IF(AND(AW45&lt;&gt;"",AW45&gt;0),AW45*(AV45/(SUMPRODUCT(--(L2:L52=L45),AV2:AV52))),""),""),""))</f>
        <v/>
      </c>
      <c r="AV45" s="2" t="str">
        <f t="shared" si="2"/>
        <v/>
      </c>
      <c r="AY45" s="2">
        <f t="shared" si="3"/>
        <v>0</v>
      </c>
      <c r="BI45" t="s">
        <v>427</v>
      </c>
      <c r="BR45" t="s">
        <v>462</v>
      </c>
    </row>
    <row r="46" spans="1:70" x14ac:dyDescent="0.25">
      <c r="A46" t="s">
        <v>428</v>
      </c>
      <c r="C46" t="s">
        <v>428</v>
      </c>
      <c r="D46" t="s">
        <v>333</v>
      </c>
      <c r="E46" t="s">
        <v>195</v>
      </c>
      <c r="G46" t="s">
        <v>173</v>
      </c>
      <c r="H46" t="s">
        <v>334</v>
      </c>
      <c r="I46" t="s">
        <v>460</v>
      </c>
      <c r="J46" t="s">
        <v>428</v>
      </c>
      <c r="K46" t="s">
        <v>428</v>
      </c>
      <c r="L46" s="9" t="s">
        <v>465</v>
      </c>
      <c r="M46" t="s">
        <v>429</v>
      </c>
      <c r="N46" t="s">
        <v>429</v>
      </c>
      <c r="O46" t="s">
        <v>176</v>
      </c>
      <c r="P46" s="7">
        <v>45161</v>
      </c>
      <c r="Q46" t="s">
        <v>177</v>
      </c>
      <c r="R46" t="s">
        <v>178</v>
      </c>
      <c r="S46" t="s">
        <v>209</v>
      </c>
      <c r="T46" t="s">
        <v>210</v>
      </c>
      <c r="U46" t="s">
        <v>270</v>
      </c>
      <c r="V46" t="s">
        <v>190</v>
      </c>
      <c r="W46" t="s">
        <v>461</v>
      </c>
      <c r="Y46">
        <v>1900022149</v>
      </c>
      <c r="Z46" t="s">
        <v>430</v>
      </c>
      <c r="AA46" t="s">
        <v>431</v>
      </c>
      <c r="AB46" t="s">
        <v>325</v>
      </c>
      <c r="AD46" t="s">
        <v>334</v>
      </c>
      <c r="AE46" t="s">
        <v>334</v>
      </c>
      <c r="AF46" t="s">
        <v>401</v>
      </c>
      <c r="AN46">
        <v>1</v>
      </c>
      <c r="AU46" s="2" t="str">
        <f>IF(ISNUMBER(FIND("Call Out",D46)),SUM(AG46:AH46)+SUM(AJ46:AM46)+SUM(AO46:AT46),IF(ISNUMBER(FIND("Renta Solicitada",D46)),IF(AND(AV46&lt;&gt;"",AV46&gt;0),IF(AND(AW46&lt;&gt;"",AW46&gt;0),AW46*(AV46/(SUMPRODUCT(--(L2:L52=L46),AV2:AV52))),""),""),""))</f>
        <v/>
      </c>
      <c r="AV46" s="2" t="str">
        <f t="shared" si="2"/>
        <v/>
      </c>
      <c r="AY46" s="2">
        <f t="shared" si="3"/>
        <v>0</v>
      </c>
      <c r="BI46" t="s">
        <v>216</v>
      </c>
      <c r="BR46" t="s">
        <v>462</v>
      </c>
    </row>
    <row r="47" spans="1:70" x14ac:dyDescent="0.25">
      <c r="A47" t="s">
        <v>432</v>
      </c>
      <c r="C47" t="s">
        <v>432</v>
      </c>
      <c r="D47" t="s">
        <v>251</v>
      </c>
      <c r="E47" t="s">
        <v>195</v>
      </c>
      <c r="G47" t="s">
        <v>173</v>
      </c>
      <c r="H47" t="s">
        <v>196</v>
      </c>
      <c r="I47" t="s">
        <v>460</v>
      </c>
      <c r="J47" t="s">
        <v>432</v>
      </c>
      <c r="K47" t="s">
        <v>432</v>
      </c>
      <c r="L47" s="9" t="s">
        <v>465</v>
      </c>
      <c r="M47" t="s">
        <v>404</v>
      </c>
      <c r="N47" t="s">
        <v>404</v>
      </c>
      <c r="O47" t="s">
        <v>176</v>
      </c>
      <c r="P47" s="7">
        <v>45161</v>
      </c>
      <c r="Q47" t="s">
        <v>227</v>
      </c>
      <c r="R47" t="s">
        <v>189</v>
      </c>
      <c r="S47" t="s">
        <v>209</v>
      </c>
      <c r="T47" t="s">
        <v>210</v>
      </c>
      <c r="U47" t="s">
        <v>220</v>
      </c>
      <c r="V47" t="s">
        <v>190</v>
      </c>
      <c r="W47" t="s">
        <v>461</v>
      </c>
      <c r="Y47">
        <v>1900024453</v>
      </c>
      <c r="Z47" t="s">
        <v>187</v>
      </c>
      <c r="AA47" t="s">
        <v>180</v>
      </c>
      <c r="AB47" t="s">
        <v>433</v>
      </c>
      <c r="AD47" t="s">
        <v>196</v>
      </c>
      <c r="AE47" t="s">
        <v>196</v>
      </c>
      <c r="AF47" t="s">
        <v>434</v>
      </c>
      <c r="AN47">
        <v>3</v>
      </c>
      <c r="AU47" s="2" t="str">
        <f>IF(ISNUMBER(FIND("Call Out",D47)),SUM(AG47:AH47)+SUM(AJ47:AM47)+SUM(AO47:AT47),IF(ISNUMBER(FIND("Renta Solicitada",D47)),IF(AND(AV47&lt;&gt;"",AV47&gt;0),IF(AND(AW47&lt;&gt;"",AW47&gt;0),AW47*(AV47/(SUMPRODUCT(--(L2:L52=L47),AV2:AV52))),""),""),""))</f>
        <v/>
      </c>
      <c r="AV47" s="2" t="str">
        <f t="shared" si="2"/>
        <v/>
      </c>
      <c r="AY47" s="2">
        <f t="shared" si="3"/>
        <v>0</v>
      </c>
      <c r="BI47" t="s">
        <v>232</v>
      </c>
      <c r="BR47" t="s">
        <v>462</v>
      </c>
    </row>
    <row r="48" spans="1:70" x14ac:dyDescent="0.25">
      <c r="A48" t="s">
        <v>435</v>
      </c>
      <c r="C48" t="s">
        <v>435</v>
      </c>
      <c r="D48" t="s">
        <v>386</v>
      </c>
      <c r="E48" t="s">
        <v>195</v>
      </c>
      <c r="G48" t="s">
        <v>173</v>
      </c>
      <c r="H48" t="s">
        <v>436</v>
      </c>
      <c r="I48" t="s">
        <v>460</v>
      </c>
      <c r="J48" t="s">
        <v>435</v>
      </c>
      <c r="K48" t="s">
        <v>435</v>
      </c>
      <c r="L48" s="9" t="s">
        <v>465</v>
      </c>
      <c r="M48" t="s">
        <v>437</v>
      </c>
      <c r="N48" t="s">
        <v>437</v>
      </c>
      <c r="O48" t="s">
        <v>176</v>
      </c>
      <c r="P48" s="7">
        <v>45161</v>
      </c>
      <c r="Q48" t="s">
        <v>177</v>
      </c>
      <c r="R48" t="s">
        <v>178</v>
      </c>
      <c r="S48" t="s">
        <v>209</v>
      </c>
      <c r="T48" t="s">
        <v>210</v>
      </c>
      <c r="U48" t="s">
        <v>220</v>
      </c>
      <c r="V48" t="s">
        <v>190</v>
      </c>
      <c r="W48" t="s">
        <v>461</v>
      </c>
      <c r="Y48">
        <v>1900080164</v>
      </c>
      <c r="Z48" t="s">
        <v>438</v>
      </c>
      <c r="AA48" t="s">
        <v>180</v>
      </c>
      <c r="AB48" t="s">
        <v>439</v>
      </c>
      <c r="AD48" t="s">
        <v>436</v>
      </c>
      <c r="AE48" t="s">
        <v>436</v>
      </c>
      <c r="AF48" t="s">
        <v>330</v>
      </c>
      <c r="AN48">
        <v>3</v>
      </c>
      <c r="AU48" s="2" t="str">
        <f>IF(ISNUMBER(FIND("Call Out",D48)),SUM(AG48:AH48)+SUM(AJ48:AM48)+SUM(AO48:AT48),IF(ISNUMBER(FIND("Renta Solicitada",D48)),IF(AND(AV48&lt;&gt;"",AV48&gt;0),IF(AND(AW48&lt;&gt;"",AW48&gt;0),AW48*(AV48/(SUMPRODUCT(--(L2:L52=L48),AV2:AV52))),""),""),""))</f>
        <v/>
      </c>
      <c r="AV48" s="2" t="str">
        <f t="shared" si="2"/>
        <v/>
      </c>
      <c r="AY48" s="2">
        <f t="shared" si="3"/>
        <v>0</v>
      </c>
      <c r="BI48" t="s">
        <v>216</v>
      </c>
      <c r="BR48" t="s">
        <v>462</v>
      </c>
    </row>
    <row r="49" spans="1:70" x14ac:dyDescent="0.25">
      <c r="A49" t="s">
        <v>440</v>
      </c>
      <c r="C49" t="s">
        <v>440</v>
      </c>
      <c r="D49" t="s">
        <v>333</v>
      </c>
      <c r="E49" t="s">
        <v>195</v>
      </c>
      <c r="G49" t="s">
        <v>173</v>
      </c>
      <c r="H49" t="s">
        <v>278</v>
      </c>
      <c r="I49" t="s">
        <v>460</v>
      </c>
      <c r="J49" t="s">
        <v>440</v>
      </c>
      <c r="K49" t="s">
        <v>440</v>
      </c>
      <c r="L49" s="9" t="s">
        <v>465</v>
      </c>
      <c r="M49" t="s">
        <v>441</v>
      </c>
      <c r="N49" t="s">
        <v>441</v>
      </c>
      <c r="O49" t="s">
        <v>176</v>
      </c>
      <c r="P49" s="7">
        <v>45161</v>
      </c>
      <c r="Q49" t="s">
        <v>234</v>
      </c>
      <c r="R49" t="s">
        <v>189</v>
      </c>
      <c r="S49" t="s">
        <v>209</v>
      </c>
      <c r="T49" t="s">
        <v>210</v>
      </c>
      <c r="U49" t="s">
        <v>270</v>
      </c>
      <c r="V49" t="s">
        <v>190</v>
      </c>
      <c r="W49" t="s">
        <v>461</v>
      </c>
      <c r="Y49">
        <v>1900072006</v>
      </c>
      <c r="Z49" t="s">
        <v>187</v>
      </c>
      <c r="AA49" t="s">
        <v>180</v>
      </c>
      <c r="AB49" t="s">
        <v>222</v>
      </c>
      <c r="AD49" t="s">
        <v>278</v>
      </c>
      <c r="AE49" t="s">
        <v>278</v>
      </c>
      <c r="AF49" t="s">
        <v>186</v>
      </c>
      <c r="AN49">
        <v>1</v>
      </c>
      <c r="AU49" s="2" t="str">
        <f>IF(ISNUMBER(FIND("Call Out",D49)),SUM(AG49:AH49)+SUM(AJ49:AM49)+SUM(AO49:AT49),IF(ISNUMBER(FIND("Renta Solicitada",D49)),IF(AND(AV49&lt;&gt;"",AV49&gt;0),IF(AND(AW49&lt;&gt;"",AW49&gt;0),AW49*(AV49/(SUMPRODUCT(--(L2:L52=L49),AV2:AV52))),""),""),""))</f>
        <v/>
      </c>
      <c r="AV49" s="2" t="str">
        <f t="shared" si="2"/>
        <v/>
      </c>
      <c r="AY49" s="2">
        <f t="shared" si="3"/>
        <v>0</v>
      </c>
      <c r="BI49" t="s">
        <v>241</v>
      </c>
      <c r="BR49" t="s">
        <v>462</v>
      </c>
    </row>
    <row r="50" spans="1:70" x14ac:dyDescent="0.25">
      <c r="A50" t="s">
        <v>442</v>
      </c>
      <c r="C50" t="s">
        <v>442</v>
      </c>
      <c r="D50" t="s">
        <v>351</v>
      </c>
      <c r="E50" t="s">
        <v>195</v>
      </c>
      <c r="G50" t="s">
        <v>173</v>
      </c>
      <c r="H50" t="s">
        <v>443</v>
      </c>
      <c r="I50" t="s">
        <v>460</v>
      </c>
      <c r="J50" t="s">
        <v>442</v>
      </c>
      <c r="K50" t="s">
        <v>442</v>
      </c>
      <c r="L50" s="9" t="s">
        <v>465</v>
      </c>
      <c r="O50" t="s">
        <v>176</v>
      </c>
      <c r="P50" s="7">
        <v>45161</v>
      </c>
      <c r="Q50" t="s">
        <v>188</v>
      </c>
      <c r="R50" t="s">
        <v>189</v>
      </c>
      <c r="S50" t="s">
        <v>209</v>
      </c>
      <c r="T50" t="s">
        <v>210</v>
      </c>
      <c r="V50" t="s">
        <v>190</v>
      </c>
      <c r="W50" t="s">
        <v>461</v>
      </c>
      <c r="Z50" t="s">
        <v>444</v>
      </c>
      <c r="AA50" t="s">
        <v>445</v>
      </c>
      <c r="AB50" t="s">
        <v>446</v>
      </c>
      <c r="AD50" t="s">
        <v>443</v>
      </c>
      <c r="AE50" t="s">
        <v>443</v>
      </c>
      <c r="AF50" t="s">
        <v>447</v>
      </c>
      <c r="AN50">
        <v>1</v>
      </c>
      <c r="AU50" s="2" t="str">
        <f>IF(ISNUMBER(FIND("Call Out",D50)),SUM(AG50:AH50)+SUM(AJ50:AM50)+SUM(AO50:AT50),IF(ISNUMBER(FIND("Renta Solicitada",D50)),IF(AND(AV50&lt;&gt;"",AV50&gt;0),IF(AND(AW50&lt;&gt;"",AW50&gt;0),AW50*(AV50/(SUMPRODUCT(--(L2:L52=L50),AV2:AV52))),""),""),""))</f>
        <v/>
      </c>
      <c r="AV50" s="2" t="str">
        <f t="shared" si="2"/>
        <v/>
      </c>
      <c r="AY50" s="2">
        <f t="shared" si="3"/>
        <v>0</v>
      </c>
      <c r="BI50" t="s">
        <v>448</v>
      </c>
      <c r="BR50" t="s">
        <v>462</v>
      </c>
    </row>
    <row r="51" spans="1:70" x14ac:dyDescent="0.25">
      <c r="A51" t="s">
        <v>449</v>
      </c>
      <c r="C51" t="s">
        <v>449</v>
      </c>
      <c r="D51" t="s">
        <v>277</v>
      </c>
      <c r="E51" t="s">
        <v>195</v>
      </c>
      <c r="G51" t="s">
        <v>173</v>
      </c>
      <c r="H51" t="s">
        <v>450</v>
      </c>
      <c r="I51" t="s">
        <v>460</v>
      </c>
      <c r="J51" t="s">
        <v>449</v>
      </c>
      <c r="K51" t="s">
        <v>449</v>
      </c>
      <c r="L51" s="9" t="s">
        <v>465</v>
      </c>
      <c r="M51" t="s">
        <v>209</v>
      </c>
      <c r="N51" t="s">
        <v>451</v>
      </c>
      <c r="O51" t="s">
        <v>176</v>
      </c>
      <c r="P51" s="7">
        <v>45161</v>
      </c>
      <c r="Q51" t="s">
        <v>297</v>
      </c>
      <c r="R51" t="s">
        <v>262</v>
      </c>
      <c r="S51" t="s">
        <v>209</v>
      </c>
      <c r="T51" t="s">
        <v>210</v>
      </c>
      <c r="U51" t="s">
        <v>452</v>
      </c>
      <c r="V51" t="s">
        <v>453</v>
      </c>
      <c r="W51" t="s">
        <v>461</v>
      </c>
      <c r="Y51">
        <v>1900091074</v>
      </c>
      <c r="Z51" t="s">
        <v>260</v>
      </c>
      <c r="AA51" t="s">
        <v>454</v>
      </c>
      <c r="AB51" t="s">
        <v>454</v>
      </c>
      <c r="AD51" t="s">
        <v>450</v>
      </c>
      <c r="AE51" t="s">
        <v>450</v>
      </c>
      <c r="AF51" t="s">
        <v>455</v>
      </c>
      <c r="AI51">
        <v>950000</v>
      </c>
      <c r="AJ51">
        <v>6650000</v>
      </c>
      <c r="AN51">
        <v>7</v>
      </c>
      <c r="AU51" s="2">
        <f>IF(ISNUMBER(FIND("Call Out",D51)),SUM(AG51:AH51)+SUM(AJ51:AM51)+SUM(AO51:AT51),IF(ISNUMBER(FIND("Renta Solicitada",D51)),IF(AND(AV51&lt;&gt;"",AV51&gt;0),IF(AND(AW51&lt;&gt;"",AW51&gt;0),AW51*(AV51/(SUMPRODUCT(--(L2:L52=L51),AV2:AV52))),""),""),""))</f>
        <v>6650000</v>
      </c>
      <c r="AV51" s="2" t="str">
        <f t="shared" si="2"/>
        <v/>
      </c>
      <c r="AY51" s="2">
        <f t="shared" si="3"/>
        <v>6650000</v>
      </c>
      <c r="BI51" t="s">
        <v>456</v>
      </c>
      <c r="BR51" t="s">
        <v>462</v>
      </c>
    </row>
    <row r="52" spans="1:70" x14ac:dyDescent="0.25">
      <c r="A52" t="s">
        <v>457</v>
      </c>
      <c r="C52" t="s">
        <v>457</v>
      </c>
      <c r="D52" t="s">
        <v>277</v>
      </c>
      <c r="E52" t="s">
        <v>195</v>
      </c>
      <c r="G52" t="s">
        <v>173</v>
      </c>
      <c r="H52" t="s">
        <v>403</v>
      </c>
      <c r="I52" t="s">
        <v>460</v>
      </c>
      <c r="J52" t="s">
        <v>457</v>
      </c>
      <c r="K52" t="s">
        <v>457</v>
      </c>
      <c r="L52" s="9" t="s">
        <v>465</v>
      </c>
      <c r="M52" t="s">
        <v>209</v>
      </c>
      <c r="N52" t="s">
        <v>458</v>
      </c>
      <c r="O52" t="s">
        <v>176</v>
      </c>
      <c r="P52" s="7">
        <v>45161</v>
      </c>
      <c r="Q52" t="s">
        <v>297</v>
      </c>
      <c r="R52" t="s">
        <v>262</v>
      </c>
      <c r="S52" t="s">
        <v>209</v>
      </c>
      <c r="T52" t="s">
        <v>210</v>
      </c>
      <c r="U52" t="s">
        <v>211</v>
      </c>
      <c r="V52" t="s">
        <v>190</v>
      </c>
      <c r="W52" t="s">
        <v>461</v>
      </c>
      <c r="Y52">
        <v>1900073333</v>
      </c>
      <c r="Z52" t="s">
        <v>260</v>
      </c>
      <c r="AA52" t="s">
        <v>454</v>
      </c>
      <c r="AB52" t="s">
        <v>454</v>
      </c>
      <c r="AD52" t="s">
        <v>403</v>
      </c>
      <c r="AE52" t="s">
        <v>403</v>
      </c>
      <c r="AF52" t="s">
        <v>459</v>
      </c>
      <c r="AI52">
        <v>600000</v>
      </c>
      <c r="AJ52">
        <v>4200000</v>
      </c>
      <c r="AN52">
        <v>7</v>
      </c>
      <c r="AU52" s="2">
        <f>IF(ISNUMBER(FIND("Call Out",D52)),SUM(AG52:AH52)+SUM(AJ52:AM52)+SUM(AO52:AT52),IF(ISNUMBER(FIND("Renta Solicitada",D52)),IF(AND(AV52&lt;&gt;"",AV52&gt;0),IF(AND(AW52&lt;&gt;"",AW52&gt;0),AW52*(AV52/(SUMPRODUCT(--(L2:L52=L52),AV2:AV52))),""),""),""))</f>
        <v>4200000</v>
      </c>
      <c r="AV52" s="2" t="str">
        <f t="shared" si="2"/>
        <v/>
      </c>
      <c r="AY52" s="2">
        <f t="shared" si="3"/>
        <v>4200000</v>
      </c>
      <c r="BI52" t="s">
        <v>456</v>
      </c>
      <c r="BR52" t="s">
        <v>462</v>
      </c>
    </row>
    <row r="53" spans="1:70" x14ac:dyDescent="0.25">
      <c r="AN53" t="s">
        <v>463</v>
      </c>
    </row>
    <row r="54" spans="1:70" x14ac:dyDescent="0.25">
      <c r="AN54" t="s">
        <v>463</v>
      </c>
    </row>
    <row r="55" spans="1:70" x14ac:dyDescent="0.25">
      <c r="AN55" t="s">
        <v>463</v>
      </c>
    </row>
    <row r="56" spans="1:70" x14ac:dyDescent="0.25">
      <c r="AN56" t="s">
        <v>463</v>
      </c>
    </row>
    <row r="57" spans="1:70" x14ac:dyDescent="0.25">
      <c r="AN57" t="s">
        <v>463</v>
      </c>
    </row>
    <row r="58" spans="1:70" x14ac:dyDescent="0.25">
      <c r="AN58" t="s">
        <v>463</v>
      </c>
    </row>
    <row r="59" spans="1:70" x14ac:dyDescent="0.25">
      <c r="A59" s="10" t="s">
        <v>206</v>
      </c>
      <c r="AN59" t="s">
        <v>463</v>
      </c>
    </row>
    <row r="60" spans="1:70" x14ac:dyDescent="0.25">
      <c r="AN60" t="s">
        <v>463</v>
      </c>
    </row>
    <row r="61" spans="1:70" x14ac:dyDescent="0.25">
      <c r="AN61" t="s">
        <v>463</v>
      </c>
    </row>
    <row r="62" spans="1:70" x14ac:dyDescent="0.25">
      <c r="AN62" t="s">
        <v>463</v>
      </c>
    </row>
    <row r="63" spans="1:70" x14ac:dyDescent="0.25">
      <c r="AN63" t="s">
        <v>463</v>
      </c>
    </row>
    <row r="64" spans="1:70" x14ac:dyDescent="0.25">
      <c r="AN64" t="s">
        <v>463</v>
      </c>
    </row>
    <row r="65" spans="40:40" x14ac:dyDescent="0.25">
      <c r="AN65" t="s">
        <v>463</v>
      </c>
    </row>
    <row r="66" spans="40:40" x14ac:dyDescent="0.25">
      <c r="AN66" t="s">
        <v>463</v>
      </c>
    </row>
    <row r="67" spans="40:40" x14ac:dyDescent="0.25">
      <c r="AN67" t="s">
        <v>463</v>
      </c>
    </row>
    <row r="68" spans="40:40" x14ac:dyDescent="0.25">
      <c r="AN68" t="s">
        <v>463</v>
      </c>
    </row>
    <row r="69" spans="40:40" x14ac:dyDescent="0.25">
      <c r="AN69" t="s">
        <v>463</v>
      </c>
    </row>
    <row r="70" spans="40:40" x14ac:dyDescent="0.25">
      <c r="AN70" t="s">
        <v>463</v>
      </c>
    </row>
    <row r="71" spans="40:40" x14ac:dyDescent="0.25">
      <c r="AN71" t="s">
        <v>463</v>
      </c>
    </row>
    <row r="72" spans="40:40" x14ac:dyDescent="0.25">
      <c r="AN72" t="s">
        <v>463</v>
      </c>
    </row>
    <row r="73" spans="40:40" x14ac:dyDescent="0.25">
      <c r="AN73" t="s">
        <v>463</v>
      </c>
    </row>
    <row r="74" spans="40:40" x14ac:dyDescent="0.25">
      <c r="AN74" t="s">
        <v>463</v>
      </c>
    </row>
    <row r="75" spans="40:40" x14ac:dyDescent="0.25">
      <c r="AN75" t="s">
        <v>463</v>
      </c>
    </row>
    <row r="76" spans="40:40" x14ac:dyDescent="0.25">
      <c r="AN76" t="s">
        <v>463</v>
      </c>
    </row>
    <row r="77" spans="40:40" x14ac:dyDescent="0.25">
      <c r="AN77" t="s">
        <v>463</v>
      </c>
    </row>
    <row r="78" spans="40:40" x14ac:dyDescent="0.25">
      <c r="AN78" t="s">
        <v>463</v>
      </c>
    </row>
    <row r="79" spans="40:40" x14ac:dyDescent="0.25">
      <c r="AN79" t="s">
        <v>463</v>
      </c>
    </row>
    <row r="80" spans="40:40" x14ac:dyDescent="0.25">
      <c r="AN80" t="s">
        <v>463</v>
      </c>
    </row>
    <row r="81" spans="40:40" x14ac:dyDescent="0.25">
      <c r="AN81" t="s">
        <v>463</v>
      </c>
    </row>
    <row r="82" spans="40:40" x14ac:dyDescent="0.25">
      <c r="AN82" t="s">
        <v>463</v>
      </c>
    </row>
    <row r="83" spans="40:40" x14ac:dyDescent="0.25">
      <c r="AN83" t="s">
        <v>463</v>
      </c>
    </row>
    <row r="84" spans="40:40" x14ac:dyDescent="0.25">
      <c r="AN84" t="s">
        <v>463</v>
      </c>
    </row>
    <row r="85" spans="40:40" x14ac:dyDescent="0.25">
      <c r="AN85" t="s">
        <v>463</v>
      </c>
    </row>
    <row r="86" spans="40:40" x14ac:dyDescent="0.25">
      <c r="AN86" t="s">
        <v>463</v>
      </c>
    </row>
    <row r="87" spans="40:40" x14ac:dyDescent="0.25">
      <c r="AN87" t="s">
        <v>463</v>
      </c>
    </row>
    <row r="88" spans="40:40" x14ac:dyDescent="0.25">
      <c r="AN88" t="s">
        <v>463</v>
      </c>
    </row>
    <row r="89" spans="40:40" x14ac:dyDescent="0.25">
      <c r="AN89" t="s">
        <v>463</v>
      </c>
    </row>
    <row r="90" spans="40:40" x14ac:dyDescent="0.25">
      <c r="AN90" t="s">
        <v>463</v>
      </c>
    </row>
    <row r="91" spans="40:40" x14ac:dyDescent="0.25">
      <c r="AN91" t="s">
        <v>463</v>
      </c>
    </row>
    <row r="92" spans="40:40" x14ac:dyDescent="0.25">
      <c r="AN92" t="s">
        <v>463</v>
      </c>
    </row>
    <row r="93" spans="40:40" x14ac:dyDescent="0.25">
      <c r="AN93" t="s">
        <v>463</v>
      </c>
    </row>
    <row r="94" spans="40:40" x14ac:dyDescent="0.25">
      <c r="AN94" t="s">
        <v>463</v>
      </c>
    </row>
    <row r="95" spans="40:40" x14ac:dyDescent="0.25">
      <c r="AN95" t="s">
        <v>463</v>
      </c>
    </row>
    <row r="96" spans="40:40" x14ac:dyDescent="0.25">
      <c r="AN96" t="s">
        <v>463</v>
      </c>
    </row>
    <row r="97" spans="40:40" x14ac:dyDescent="0.25">
      <c r="AN97" t="s">
        <v>463</v>
      </c>
    </row>
    <row r="98" spans="40:40" x14ac:dyDescent="0.25">
      <c r="AN98" t="s">
        <v>463</v>
      </c>
    </row>
    <row r="99" spans="40:40" x14ac:dyDescent="0.25">
      <c r="AN99" t="s">
        <v>463</v>
      </c>
    </row>
    <row r="100" spans="40:40" x14ac:dyDescent="0.25">
      <c r="AN100" t="s">
        <v>463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&amp;C_x000D_&amp;1#&amp;"Calibri"&amp;10&amp;K000000 SLB-Private</oddFooter>
  </headerFooter>
</worksheet>
</file>

<file path=docMetadata/LabelInfo.xml><?xml version="1.0" encoding="utf-8"?>
<clbl:labelList xmlns:clbl="http://schemas.microsoft.com/office/2020/mipLabelMetadata">
  <clbl:label id="{8bb759f6-5337-4dc5-b19b-e74b6da11f8f}" enabled="1" method="Standard" siteId="{41ff26dc-250f-4b13-8981-739be8610c21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INFORME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Julián Darío Romero Romero</dc:creator>
  <cp:keywords/>
  <dc:description/>
  <cp:lastModifiedBy>Julián Darío Romero Romero</cp:lastModifiedBy>
  <dcterms:created xsi:type="dcterms:W3CDTF">2023-07-17T15:39:13Z</dcterms:created>
  <dcterms:modified xsi:type="dcterms:W3CDTF">2024-01-13T13:59:34Z</dcterms:modified>
  <cp:category/>
</cp:coreProperties>
</file>